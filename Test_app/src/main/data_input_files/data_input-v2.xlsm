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GK\AGK_libs2\apps\Test_app_tower_defence\Test_app\src\main\data_input_files\"/>
    </mc:Choice>
  </mc:AlternateContent>
  <xr:revisionPtr revIDLastSave="0" documentId="13_ncr:1_{E9168F5D-CF1E-4D0E-AD57-76FF00C4B1B8}" xr6:coauthVersionLast="45" xr6:coauthVersionMax="45" xr10:uidLastSave="{00000000-0000-0000-0000-000000000000}"/>
  <bookViews>
    <workbookView xWindow="-120" yWindow="16080" windowWidth="29040" windowHeight="15840" activeTab="3" xr2:uid="{F80896C4-579A-4CB2-9F3C-9634C19A8189}"/>
  </bookViews>
  <sheets>
    <sheet name="towers" sheetId="1" r:id="rId1"/>
    <sheet name="mobs" sheetId="2" r:id="rId2"/>
    <sheet name="waves" sheetId="3" r:id="rId3"/>
    <sheet name="bullets" sheetId="4" r:id="rId4"/>
    <sheet name="animations" sheetId="5" r:id="rId5"/>
    <sheet name="shaders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9" i="3" l="1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AN6" i="1" l="1"/>
  <c r="AN7" i="1"/>
  <c r="AN8" i="1"/>
  <c r="AN9" i="1"/>
  <c r="AN10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30" i="1"/>
  <c r="AN31" i="1"/>
  <c r="AN33" i="1"/>
  <c r="AN34" i="1"/>
  <c r="AN35" i="1"/>
  <c r="AN36" i="1"/>
  <c r="AN38" i="1"/>
  <c r="AN40" i="1"/>
  <c r="AN41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5" i="1" l="1"/>
  <c r="E23" i="1" l="1"/>
  <c r="G3" i="2"/>
  <c r="G6" i="2"/>
  <c r="G5" i="2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6" i="3"/>
  <c r="F6" i="3"/>
  <c r="C6" i="2" l="1"/>
  <c r="C5" i="2"/>
  <c r="C4" i="2"/>
  <c r="C3" i="2"/>
  <c r="C2" i="2"/>
  <c r="G4" i="2" l="1"/>
  <c r="H6" i="2" l="1"/>
  <c r="H5" i="2"/>
  <c r="H4" i="2"/>
  <c r="H3" i="2"/>
  <c r="G2" i="2"/>
  <c r="H2" i="2" s="1"/>
  <c r="D11" i="3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D52" i="3" s="1"/>
  <c r="D53" i="3" s="1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</calcChain>
</file>

<file path=xl/sharedStrings.xml><?xml version="1.0" encoding="utf-8"?>
<sst xmlns="http://schemas.openxmlformats.org/spreadsheetml/2006/main" count="783" uniqueCount="333">
  <si>
    <t>name</t>
  </si>
  <si>
    <t>id</t>
  </si>
  <si>
    <t>range</t>
  </si>
  <si>
    <t>upgrades</t>
  </si>
  <si>
    <t>rotate_speed</t>
  </si>
  <si>
    <t>reload_time</t>
  </si>
  <si>
    <t>price</t>
  </si>
  <si>
    <t>T001</t>
  </si>
  <si>
    <t>TB001</t>
  </si>
  <si>
    <t>TA001</t>
  </si>
  <si>
    <t>health</t>
  </si>
  <si>
    <t>armor1</t>
  </si>
  <si>
    <t>armor2</t>
  </si>
  <si>
    <t>armor3</t>
  </si>
  <si>
    <t>speed_min</t>
  </si>
  <si>
    <t>speed_max</t>
  </si>
  <si>
    <t>size.x</t>
  </si>
  <si>
    <t>size.y</t>
  </si>
  <si>
    <t>reward</t>
  </si>
  <si>
    <t>Ball_01</t>
  </si>
  <si>
    <t>Car_01</t>
  </si>
  <si>
    <t>Planet_01</t>
  </si>
  <si>
    <t>Spaceship_01</t>
  </si>
  <si>
    <t>Spider_01</t>
  </si>
  <si>
    <t>duration</t>
  </si>
  <si>
    <t>release_time</t>
  </si>
  <si>
    <t>W1</t>
  </si>
  <si>
    <t>W2</t>
  </si>
  <si>
    <t>W3</t>
  </si>
  <si>
    <t>W4</t>
  </si>
  <si>
    <t>A1</t>
  </si>
  <si>
    <t>K6</t>
  </si>
  <si>
    <t>W5</t>
  </si>
  <si>
    <t>W6</t>
  </si>
  <si>
    <t>W7</t>
  </si>
  <si>
    <t>W8</t>
  </si>
  <si>
    <t>mob_types</t>
  </si>
  <si>
    <t>mob_amounts</t>
  </si>
  <si>
    <t>path</t>
  </si>
  <si>
    <t>stone</t>
  </si>
  <si>
    <t>lazer</t>
  </si>
  <si>
    <t>bullet_01</t>
  </si>
  <si>
    <t>bullet_03</t>
  </si>
  <si>
    <t>bullet_02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</si>
  <si>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</si>
  <si>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</si>
  <si>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</si>
  <si>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</si>
  <si>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</si>
  <si>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</si>
  <si>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</si>
  <si>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</si>
  <si>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</si>
  <si>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</si>
  <si>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</si>
  <si>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</si>
  <si>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</si>
  <si>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</si>
  <si>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</si>
  <si>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rel_time_mp</t>
  </si>
  <si>
    <t>speed_mp</t>
  </si>
  <si>
    <t>type</t>
  </si>
  <si>
    <t>multi</t>
  </si>
  <si>
    <t>prefix</t>
  </si>
  <si>
    <t>white-explode</t>
  </si>
  <si>
    <t>red-explode</t>
  </si>
  <si>
    <t>blue-flash</t>
  </si>
  <si>
    <t>dynamite</t>
  </si>
  <si>
    <t>short-expl-01</t>
  </si>
  <si>
    <t>short-expl-02</t>
  </si>
  <si>
    <t>short-expl-03</t>
  </si>
  <si>
    <t>short-expl-04</t>
  </si>
  <si>
    <t>short-expl-05</t>
  </si>
  <si>
    <t>short-expl-06</t>
  </si>
  <si>
    <t>short-expl-07</t>
  </si>
  <si>
    <t>short-expl-08</t>
  </si>
  <si>
    <t>short-expl-09</t>
  </si>
  <si>
    <t>health_mp</t>
  </si>
  <si>
    <t>rot_speed_mp</t>
  </si>
  <si>
    <t>aimless</t>
  </si>
  <si>
    <t>aim</t>
  </si>
  <si>
    <t>bullet buffer multiplier</t>
  </si>
  <si>
    <t>string</t>
  </si>
  <si>
    <t>integer</t>
  </si>
  <si>
    <t>float</t>
  </si>
  <si>
    <t>cell_size</t>
  </si>
  <si>
    <t>DRT</t>
  </si>
  <si>
    <t>reload frames</t>
  </si>
  <si>
    <t>travel to end frames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</si>
  <si>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</si>
  <si>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</si>
  <si>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</si>
  <si>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</si>
  <si>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</si>
  <si>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</si>
  <si>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</si>
  <si>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</si>
  <si>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</si>
  <si>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</si>
  <si>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</si>
  <si>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</si>
  <si>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</si>
  <si>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</si>
  <si>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</si>
  <si>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</si>
  <si>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</si>
  <si>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rocket</t>
  </si>
  <si>
    <t>freeze</t>
  </si>
  <si>
    <t>normal</t>
  </si>
  <si>
    <t>follow</t>
  </si>
  <si>
    <t>effect-still</t>
  </si>
  <si>
    <t>bullet.img</t>
  </si>
  <si>
    <t>bullet.buffer</t>
  </si>
  <si>
    <t>bullet.width</t>
  </si>
  <si>
    <t>bullet.height</t>
  </si>
  <si>
    <t>ndir</t>
  </si>
  <si>
    <t>bullet.type</t>
  </si>
  <si>
    <t>bullet.hiteffect</t>
  </si>
  <si>
    <t>damage</t>
  </si>
  <si>
    <t>debuff</t>
  </si>
  <si>
    <t>block</t>
  </si>
  <si>
    <t>none</t>
  </si>
  <si>
    <t>TA101</t>
  </si>
  <si>
    <t>TA102</t>
  </si>
  <si>
    <t>TA103</t>
  </si>
  <si>
    <t>TA104</t>
  </si>
  <si>
    <t>TA202</t>
  </si>
  <si>
    <t>TA203</t>
  </si>
  <si>
    <t>TA204</t>
  </si>
  <si>
    <t>TA301</t>
  </si>
  <si>
    <t>TA302</t>
  </si>
  <si>
    <t>TA303</t>
  </si>
  <si>
    <t>TA304</t>
  </si>
  <si>
    <t>TA402</t>
  </si>
  <si>
    <t>TA403</t>
  </si>
  <si>
    <t>TA404</t>
  </si>
  <si>
    <t>TB101</t>
  </si>
  <si>
    <t>TB102</t>
  </si>
  <si>
    <t>TB103</t>
  </si>
  <si>
    <t>TB104</t>
  </si>
  <si>
    <t>TB201</t>
  </si>
  <si>
    <t>TB202</t>
  </si>
  <si>
    <t>TB203</t>
  </si>
  <si>
    <t>TB204</t>
  </si>
  <si>
    <t>TB302</t>
  </si>
  <si>
    <t>TB303</t>
  </si>
  <si>
    <t>TM001</t>
  </si>
  <si>
    <t>TM101</t>
  </si>
  <si>
    <t>TM102</t>
  </si>
  <si>
    <t>TM103</t>
  </si>
  <si>
    <t>TM104</t>
  </si>
  <si>
    <t>TAL101</t>
  </si>
  <si>
    <t>TAL102</t>
  </si>
  <si>
    <t>TAL103</t>
  </si>
  <si>
    <t>TAL104</t>
  </si>
  <si>
    <t>TAL202</t>
  </si>
  <si>
    <t>TAL203</t>
  </si>
  <si>
    <t>TAL204</t>
  </si>
  <si>
    <t>TAL301</t>
  </si>
  <si>
    <t>TAL302</t>
  </si>
  <si>
    <t>TAL303</t>
  </si>
  <si>
    <t>TAL304</t>
  </si>
  <si>
    <t>TAL404</t>
  </si>
  <si>
    <t>TAL403</t>
  </si>
  <si>
    <t>TAL402</t>
  </si>
  <si>
    <t>TAL001</t>
  </si>
  <si>
    <t>TAL401</t>
  </si>
  <si>
    <t>TAL001,TA001,TB001,TM001</t>
  </si>
  <si>
    <t>TAL103,TAL202</t>
  </si>
  <si>
    <t>TAL104,TAL203</t>
  </si>
  <si>
    <t>TAL303,TAL202</t>
  </si>
  <si>
    <t>TAL304,TAL203</t>
  </si>
  <si>
    <t>TAL204,</t>
  </si>
  <si>
    <t>TA203,TA102,TA302</t>
  </si>
  <si>
    <t>TA204,TA103,TA303</t>
  </si>
  <si>
    <t>TA104,TA304</t>
  </si>
  <si>
    <t>spread</t>
  </si>
  <si>
    <t>A4</t>
  </si>
  <si>
    <t>TB304</t>
  </si>
  <si>
    <t>TA201</t>
  </si>
  <si>
    <t>TA205</t>
  </si>
  <si>
    <t>TA205,TA104,TA304</t>
  </si>
  <si>
    <t>TAL201</t>
  </si>
  <si>
    <t>TAL101,TAL201,TAL301, TAL401</t>
  </si>
  <si>
    <t>TA401</t>
  </si>
  <si>
    <t>TA105</t>
  </si>
  <si>
    <t>TA101, TA201, TA301,TA401</t>
  </si>
  <si>
    <t>TA103,TA402,TA202</t>
  </si>
  <si>
    <t>TA104,TA403,TA203</t>
  </si>
  <si>
    <t>TA105,TA404,TA204</t>
  </si>
  <si>
    <t>TA405,TA205</t>
  </si>
  <si>
    <t>TA305</t>
  </si>
  <si>
    <t>TA405</t>
  </si>
  <si>
    <t>speed</t>
  </si>
  <si>
    <t>W60</t>
  </si>
  <si>
    <t>A5</t>
  </si>
  <si>
    <t>DOT</t>
  </si>
  <si>
    <t>fire-01</t>
  </si>
  <si>
    <t>single</t>
  </si>
  <si>
    <t>images\animations\red-explode\redexplode</t>
  </si>
  <si>
    <t>images\animations\white-explode\explodewhite</t>
  </si>
  <si>
    <t>images\animations\blue-flash\DebrisExplode</t>
  </si>
  <si>
    <t>images\animations\dynamite\dynoexplode</t>
  </si>
  <si>
    <t>images\animations\short\explosion-1\explosion-1-</t>
  </si>
  <si>
    <t>images\animations\short\explosion-2\explosion-2-</t>
  </si>
  <si>
    <t>images\animations\short\explosion-3\</t>
  </si>
  <si>
    <t>images\animations\short\explosion-4\</t>
  </si>
  <si>
    <t>images\animations\short\explosion-5\explosion-5-</t>
  </si>
  <si>
    <t>images\animations\short\explosion-6\explosion-6-</t>
  </si>
  <si>
    <t>images\animations\short\explosion-7\</t>
  </si>
  <si>
    <t>images\animations\short\explosion-8\</t>
  </si>
  <si>
    <t>images\animations\short\explosion-9\</t>
  </si>
  <si>
    <t>images\animations\fire-01.png</t>
  </si>
  <si>
    <t>start_n-w</t>
  </si>
  <si>
    <t>end_n-h</t>
  </si>
  <si>
    <t>n_padded_0-count</t>
  </si>
  <si>
    <t>size</t>
  </si>
  <si>
    <t>buffer</t>
  </si>
  <si>
    <t>animation</t>
  </si>
  <si>
    <t>bullet.hiteffect.vis</t>
  </si>
  <si>
    <t>bullet.hiteffect.animation</t>
  </si>
  <si>
    <t>bullet.hiteffect.animation.size</t>
  </si>
  <si>
    <t>bullet.hiteffect.animation.fps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</si>
  <si>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</si>
  <si>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</si>
  <si>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</si>
  <si>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</si>
  <si>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</si>
  <si>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</si>
  <si>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</si>
  <si>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</si>
  <si>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</si>
  <si>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</si>
  <si>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</si>
  <si>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</si>
  <si>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</si>
  <si>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</si>
  <si>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</si>
  <si>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</si>
  <si>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</si>
  <si>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</si>
  <si>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</si>
  <si>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</si>
  <si>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</si>
  <si>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</si>
  <si>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</si>
  <si>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</si>
  <si>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</si>
  <si>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</si>
  <si>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</si>
  <si>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</si>
  <si>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</si>
  <si>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</si>
  <si>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</si>
  <si>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</si>
  <si>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</si>
  <si>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W59</t>
  </si>
  <si>
    <t>W61</t>
  </si>
  <si>
    <t>W62</t>
  </si>
  <si>
    <t>W63</t>
  </si>
  <si>
    <t>W64</t>
  </si>
  <si>
    <t>W65</t>
  </si>
  <si>
    <t>W66</t>
  </si>
  <si>
    <t>W67</t>
  </si>
  <si>
    <t>F70</t>
  </si>
  <si>
    <t>fire-debuff</t>
  </si>
  <si>
    <t>images\animations\fire-debuff.png</t>
  </si>
  <si>
    <t>ice-debuff</t>
  </si>
  <si>
    <t>images\animations\ice-debuff.png</t>
  </si>
  <si>
    <t>burn</t>
  </si>
  <si>
    <t>chain</t>
  </si>
  <si>
    <t>chain-01</t>
  </si>
  <si>
    <t>bullet.v1</t>
  </si>
  <si>
    <t>bullet.v2</t>
  </si>
  <si>
    <t>bullet.v3</t>
  </si>
  <si>
    <t>bullet.w1</t>
  </si>
  <si>
    <t>bullet.w2</t>
  </si>
  <si>
    <t>bullet.w3</t>
  </si>
  <si>
    <t>bullet.z2</t>
  </si>
  <si>
    <t>bullet.z3</t>
  </si>
  <si>
    <t>bullet.z1</t>
  </si>
  <si>
    <t>dmg</t>
  </si>
  <si>
    <t>slow</t>
  </si>
  <si>
    <t>bullet.a1</t>
  </si>
  <si>
    <t>bullet.s3</t>
  </si>
  <si>
    <t>bullet.s2</t>
  </si>
  <si>
    <t>bullet.s1</t>
  </si>
  <si>
    <t>bullet.a2</t>
  </si>
  <si>
    <t>bullet.a3</t>
  </si>
  <si>
    <t>debufftype</t>
  </si>
  <si>
    <t>AH60</t>
  </si>
  <si>
    <t>chain-fire</t>
  </si>
  <si>
    <t>chain-ice</t>
  </si>
  <si>
    <t>chain-electro-1</t>
  </si>
  <si>
    <t>chain-electro-2</t>
  </si>
  <si>
    <t>shaders\chain-fire.fs</t>
  </si>
  <si>
    <t>shaders\chain-ice.fs</t>
  </si>
  <si>
    <t>shaders\chain-electro-1.fs</t>
  </si>
  <si>
    <t>shaders\chain-electro-2.fs</t>
  </si>
  <si>
    <t>B8</t>
  </si>
  <si>
    <t>aoe</t>
  </si>
  <si>
    <t>blue-circle</t>
  </si>
  <si>
    <t>area-spawn-instant</t>
  </si>
  <si>
    <t>area-spawn-long</t>
  </si>
  <si>
    <t>blue-explode</t>
  </si>
  <si>
    <t>images\animations\blue-explode.png</t>
  </si>
  <si>
    <t>areaspawn-type</t>
  </si>
  <si>
    <t>rotation</t>
  </si>
  <si>
    <t>shaderKey</t>
  </si>
  <si>
    <t>animationKey</t>
  </si>
  <si>
    <t>animFPS</t>
  </si>
  <si>
    <t>green-explode</t>
  </si>
  <si>
    <t>images\animations\green-explode.png</t>
  </si>
  <si>
    <t>images\animations\electro-01.png</t>
  </si>
  <si>
    <t>electro-01</t>
  </si>
  <si>
    <t>F23</t>
  </si>
  <si>
    <t>expansion</t>
  </si>
  <si>
    <t>rotSpeed</t>
  </si>
  <si>
    <t>expSpeed</t>
  </si>
  <si>
    <t xml:space="preserve">debuff </t>
  </si>
  <si>
    <t>bullet</t>
  </si>
  <si>
    <t>dur.</t>
  </si>
  <si>
    <t>int.</t>
  </si>
  <si>
    <t>images\bullets\stone_16x16.png</t>
  </si>
  <si>
    <t>images\bullets\lazer_2x16.png</t>
  </si>
  <si>
    <t>images\bullets_01\bullet_01_16x16.png</t>
  </si>
  <si>
    <t>images\bullets_02\bullet_02_16x16.png</t>
  </si>
  <si>
    <t>images\bullets\bullet_03_16x16.png</t>
  </si>
  <si>
    <t>images\bullets\rocket_01.png</t>
  </si>
  <si>
    <t>images\bullets\freeze-01.png</t>
  </si>
  <si>
    <t>images\bullets\burn.png</t>
  </si>
  <si>
    <t>images\bullets\blue-transparent-circle.png</t>
  </si>
  <si>
    <t>C13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</si>
</sst>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kr&quot;\ * #,##0.00_-;\-&quot;kr&quot;\ * #,##0.00_-;_-&quot;kr&quot;\ * &quot;-&quot;??_-;_-@_-"/>
    <numFmt numFmtId="164" formatCode="0.0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Font="1"/>
    <xf numFmtId="9" fontId="0" fillId="0" borderId="0" xfId="0" applyNumberFormat="1"/>
    <xf numFmtId="44" fontId="0" fillId="0" borderId="0" xfId="0" applyNumberFormat="1"/>
    <xf numFmtId="1" fontId="0" fillId="3" borderId="0" xfId="0" applyNumberFormat="1" applyFill="1"/>
    <xf numFmtId="1" fontId="0" fillId="4" borderId="0" xfId="0" applyNumberFormat="1" applyFill="1"/>
    <xf numFmtId="1" fontId="0" fillId="5" borderId="0" xfId="0" applyNumberFormat="1" applyFill="1"/>
    <xf numFmtId="164" fontId="0" fillId="0" borderId="0" xfId="0" applyNumberFormat="1"/>
    <xf numFmtId="0" fontId="0" fillId="6" borderId="0" xfId="0" applyFill="1"/>
    <xf numFmtId="1" fontId="0" fillId="7" borderId="0" xfId="0" applyNumberFormat="1" applyFill="1"/>
    <xf numFmtId="0" fontId="0" fillId="2" borderId="1" xfId="0" applyFill="1" applyBorder="1"/>
    <xf numFmtId="0" fontId="0" fillId="2" borderId="1" xfId="0" applyFill="1" applyBorder="1" applyAlignment="1">
      <alignment horizontal="left"/>
    </xf>
    <xf numFmtId="164" fontId="0" fillId="2" borderId="1" xfId="0" applyNumberFormat="1" applyFill="1" applyBorder="1"/>
    <xf numFmtId="2" fontId="0" fillId="2" borderId="1" xfId="0" applyNumberFormat="1" applyFill="1" applyBorder="1"/>
    <xf numFmtId="1" fontId="0" fillId="2" borderId="1" xfId="0" applyNumberFormat="1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164" fontId="0" fillId="3" borderId="1" xfId="0" applyNumberFormat="1" applyFill="1" applyBorder="1"/>
    <xf numFmtId="2" fontId="0" fillId="3" borderId="1" xfId="0" applyNumberFormat="1" applyFill="1" applyBorder="1"/>
    <xf numFmtId="1" fontId="0" fillId="3" borderId="1" xfId="0" applyNumberFormat="1" applyFill="1" applyBorder="1"/>
    <xf numFmtId="0" fontId="0" fillId="3" borderId="1" xfId="0" applyFill="1" applyBorder="1" applyAlignment="1">
      <alignment horizontal="right"/>
    </xf>
    <xf numFmtId="0" fontId="0" fillId="4" borderId="1" xfId="0" applyFill="1" applyBorder="1" applyAlignment="1">
      <alignment horizontal="left"/>
    </xf>
    <xf numFmtId="164" fontId="0" fillId="4" borderId="1" xfId="0" applyNumberFormat="1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164" fontId="0" fillId="5" borderId="1" xfId="0" applyNumberFormat="1" applyFill="1" applyBorder="1"/>
    <xf numFmtId="2" fontId="0" fillId="5" borderId="1" xfId="0" applyNumberFormat="1" applyFill="1" applyBorder="1"/>
    <xf numFmtId="1" fontId="0" fillId="5" borderId="1" xfId="0" applyNumberFormat="1" applyFill="1" applyBorder="1"/>
    <xf numFmtId="0" fontId="0" fillId="5" borderId="1" xfId="0" applyFill="1" applyBorder="1" applyAlignment="1">
      <alignment horizontal="right"/>
    </xf>
    <xf numFmtId="0" fontId="0" fillId="9" borderId="1" xfId="0" applyFill="1" applyBorder="1"/>
    <xf numFmtId="0" fontId="0" fillId="9" borderId="1" xfId="0" applyFill="1" applyBorder="1" applyAlignment="1">
      <alignment horizontal="left"/>
    </xf>
    <xf numFmtId="164" fontId="0" fillId="9" borderId="1" xfId="0" applyNumberFormat="1" applyFill="1" applyBorder="1"/>
    <xf numFmtId="2" fontId="0" fillId="9" borderId="1" xfId="0" applyNumberFormat="1" applyFill="1" applyBorder="1"/>
    <xf numFmtId="1" fontId="0" fillId="9" borderId="1" xfId="0" applyNumberFormat="1" applyFill="1" applyBorder="1"/>
    <xf numFmtId="0" fontId="0" fillId="9" borderId="1" xfId="0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164" fontId="0" fillId="3" borderId="1" xfId="0" applyNumberFormat="1" applyFill="1" applyBorder="1" applyAlignment="1">
      <alignment horizontal="right"/>
    </xf>
    <xf numFmtId="164" fontId="0" fillId="9" borderId="1" xfId="0" applyNumberFormat="1" applyFill="1" applyBorder="1" applyAlignment="1">
      <alignment horizontal="right"/>
    </xf>
    <xf numFmtId="164" fontId="0" fillId="4" borderId="1" xfId="0" applyNumberFormat="1" applyFill="1" applyBorder="1" applyAlignment="1">
      <alignment horizontal="right"/>
    </xf>
    <xf numFmtId="164" fontId="0" fillId="5" borderId="1" xfId="0" applyNumberFormat="1" applyFill="1" applyBorder="1" applyAlignment="1">
      <alignment horizontal="right"/>
    </xf>
    <xf numFmtId="0" fontId="2" fillId="3" borderId="1" xfId="0" applyFont="1" applyFill="1" applyBorder="1"/>
    <xf numFmtId="0" fontId="2" fillId="3" borderId="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left"/>
    </xf>
    <xf numFmtId="2" fontId="2" fillId="3" borderId="1" xfId="0" applyNumberFormat="1" applyFont="1" applyFill="1" applyBorder="1"/>
    <xf numFmtId="164" fontId="2" fillId="3" borderId="1" xfId="0" applyNumberFormat="1" applyFont="1" applyFill="1" applyBorder="1"/>
    <xf numFmtId="1" fontId="2" fillId="3" borderId="1" xfId="0" applyNumberFormat="1" applyFont="1" applyFill="1" applyBorder="1"/>
    <xf numFmtId="164" fontId="2" fillId="3" borderId="1" xfId="0" applyNumberFormat="1" applyFont="1" applyFill="1" applyBorder="1" applyAlignment="1">
      <alignment horizontal="right"/>
    </xf>
    <xf numFmtId="0" fontId="2" fillId="5" borderId="1" xfId="0" applyFont="1" applyFill="1" applyBorder="1"/>
    <xf numFmtId="0" fontId="2" fillId="5" borderId="1" xfId="0" applyFont="1" applyFill="1" applyBorder="1" applyAlignment="1">
      <alignment horizontal="right"/>
    </xf>
    <xf numFmtId="0" fontId="2" fillId="5" borderId="1" xfId="0" applyFont="1" applyFill="1" applyBorder="1" applyAlignment="1">
      <alignment horizontal="left"/>
    </xf>
    <xf numFmtId="2" fontId="2" fillId="5" borderId="1" xfId="0" applyNumberFormat="1" applyFont="1" applyFill="1" applyBorder="1"/>
    <xf numFmtId="164" fontId="2" fillId="5" borderId="1" xfId="0" applyNumberFormat="1" applyFont="1" applyFill="1" applyBorder="1"/>
    <xf numFmtId="1" fontId="2" fillId="5" borderId="1" xfId="0" applyNumberFormat="1" applyFont="1" applyFill="1" applyBorder="1"/>
    <xf numFmtId="164" fontId="2" fillId="5" borderId="1" xfId="0" applyNumberFormat="1" applyFont="1" applyFill="1" applyBorder="1" applyAlignment="1">
      <alignment horizontal="right"/>
    </xf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0" fillId="2" borderId="2" xfId="0" applyFill="1" applyBorder="1" applyAlignment="1">
      <alignment horizontal="left"/>
    </xf>
    <xf numFmtId="2" fontId="0" fillId="2" borderId="2" xfId="0" applyNumberFormat="1" applyFill="1" applyBorder="1"/>
    <xf numFmtId="164" fontId="0" fillId="2" borderId="2" xfId="0" applyNumberFormat="1" applyFill="1" applyBorder="1"/>
    <xf numFmtId="1" fontId="0" fillId="2" borderId="2" xfId="0" applyNumberFormat="1" applyFill="1" applyBorder="1"/>
    <xf numFmtId="164" fontId="0" fillId="2" borderId="2" xfId="0" applyNumberFormat="1" applyFill="1" applyBorder="1" applyAlignment="1">
      <alignment horizontal="right"/>
    </xf>
    <xf numFmtId="0" fontId="0" fillId="8" borderId="4" xfId="0" applyFill="1" applyBorder="1" applyAlignment="1">
      <alignment horizontal="right" vertical="top" wrapText="1"/>
    </xf>
    <xf numFmtId="0" fontId="0" fillId="8" borderId="4" xfId="0" applyFill="1" applyBorder="1" applyAlignment="1">
      <alignment vertical="top" wrapText="1"/>
    </xf>
    <xf numFmtId="2" fontId="0" fillId="9" borderId="1" xfId="0" applyNumberFormat="1" applyFill="1" applyBorder="1" applyAlignment="1">
      <alignment horizontal="right"/>
    </xf>
    <xf numFmtId="0" fontId="0" fillId="10" borderId="3" xfId="0" applyFill="1" applyBorder="1" applyAlignment="1">
      <alignment vertical="top" wrapText="1"/>
    </xf>
    <xf numFmtId="0" fontId="0" fillId="10" borderId="4" xfId="0" applyFill="1" applyBorder="1" applyAlignment="1">
      <alignment horizontal="right" vertical="top" wrapText="1"/>
    </xf>
    <xf numFmtId="0" fontId="0" fillId="10" borderId="4" xfId="0" applyFill="1" applyBorder="1" applyAlignment="1">
      <alignment vertical="top" wrapText="1"/>
    </xf>
    <xf numFmtId="0" fontId="0" fillId="9" borderId="4" xfId="0" applyFill="1" applyBorder="1" applyAlignment="1">
      <alignment vertical="top" wrapText="1"/>
    </xf>
    <xf numFmtId="0" fontId="0" fillId="10" borderId="1" xfId="0" applyFill="1" applyBorder="1" applyAlignment="1">
      <alignment wrapText="1"/>
    </xf>
    <xf numFmtId="0" fontId="4" fillId="10" borderId="1" xfId="0" applyFont="1" applyFill="1" applyBorder="1" applyAlignment="1">
      <alignment wrapText="1"/>
    </xf>
    <xf numFmtId="0" fontId="4" fillId="2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2" fontId="0" fillId="8" borderId="1" xfId="0" applyNumberFormat="1" applyFill="1" applyBorder="1"/>
    <xf numFmtId="164" fontId="0" fillId="8" borderId="1" xfId="0" applyNumberFormat="1" applyFill="1" applyBorder="1"/>
    <xf numFmtId="1" fontId="0" fillId="8" borderId="1" xfId="0" applyNumberFormat="1" applyFill="1" applyBorder="1"/>
    <xf numFmtId="164" fontId="0" fillId="8" borderId="1" xfId="0" applyNumberFormat="1" applyFill="1" applyBorder="1" applyAlignment="1">
      <alignment horizontal="right"/>
    </xf>
    <xf numFmtId="0" fontId="0" fillId="2" borderId="5" xfId="0" applyFill="1" applyBorder="1"/>
    <xf numFmtId="0" fontId="0" fillId="4" borderId="1" xfId="0" applyFont="1" applyFill="1" applyBorder="1" applyAlignment="1">
      <alignment horizontal="right"/>
    </xf>
    <xf numFmtId="0" fontId="0" fillId="4" borderId="1" xfId="0" applyFont="1" applyFill="1" applyBorder="1"/>
    <xf numFmtId="0" fontId="0" fillId="4" borderId="1" xfId="0" applyFont="1" applyFill="1" applyBorder="1" applyAlignment="1">
      <alignment horizontal="left"/>
    </xf>
    <xf numFmtId="2" fontId="0" fillId="4" borderId="1" xfId="0" applyNumberFormat="1" applyFont="1" applyFill="1" applyBorder="1"/>
    <xf numFmtId="164" fontId="0" fillId="4" borderId="1" xfId="0" applyNumberFormat="1" applyFont="1" applyFill="1" applyBorder="1"/>
    <xf numFmtId="1" fontId="0" fillId="4" borderId="1" xfId="0" applyNumberFormat="1" applyFont="1" applyFill="1" applyBorder="1"/>
    <xf numFmtId="164" fontId="0" fillId="4" borderId="1" xfId="0" applyNumberFormat="1" applyFont="1" applyFill="1" applyBorder="1" applyAlignment="1">
      <alignment horizontal="right"/>
    </xf>
    <xf numFmtId="0" fontId="5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left"/>
    </xf>
    <xf numFmtId="2" fontId="6" fillId="4" borderId="1" xfId="0" applyNumberFormat="1" applyFont="1" applyFill="1" applyBorder="1"/>
    <xf numFmtId="164" fontId="6" fillId="4" borderId="1" xfId="0" applyNumberFormat="1" applyFont="1" applyFill="1" applyBorder="1"/>
    <xf numFmtId="1" fontId="6" fillId="4" borderId="1" xfId="0" applyNumberFormat="1" applyFont="1" applyFill="1" applyBorder="1"/>
    <xf numFmtId="0" fontId="6" fillId="4" borderId="1" xfId="0" applyFont="1" applyFill="1" applyBorder="1"/>
    <xf numFmtId="164" fontId="6" fillId="4" borderId="1" xfId="0" applyNumberFormat="1" applyFont="1" applyFill="1" applyBorder="1" applyAlignment="1">
      <alignment horizontal="right"/>
    </xf>
    <xf numFmtId="2" fontId="6" fillId="4" borderId="1" xfId="0" applyNumberFormat="1" applyFont="1" applyFill="1" applyBorder="1" applyAlignment="1">
      <alignment horizontal="right"/>
    </xf>
    <xf numFmtId="0" fontId="7" fillId="4" borderId="1" xfId="0" applyFont="1" applyFill="1" applyBorder="1"/>
    <xf numFmtId="0" fontId="7" fillId="4" borderId="1" xfId="0" applyFont="1" applyFill="1" applyBorder="1" applyAlignment="1">
      <alignment horizontal="right"/>
    </xf>
    <xf numFmtId="0" fontId="7" fillId="4" borderId="1" xfId="0" applyFont="1" applyFill="1" applyBorder="1" applyAlignment="1">
      <alignment horizontal="left"/>
    </xf>
    <xf numFmtId="2" fontId="7" fillId="4" borderId="1" xfId="0" applyNumberFormat="1" applyFont="1" applyFill="1" applyBorder="1"/>
    <xf numFmtId="164" fontId="7" fillId="4" borderId="1" xfId="0" applyNumberFormat="1" applyFont="1" applyFill="1" applyBorder="1"/>
    <xf numFmtId="1" fontId="7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4" borderId="1" xfId="0" applyNumberFormat="1" applyFont="1" applyFill="1" applyBorder="1" applyAlignment="1">
      <alignment horizontal="right"/>
    </xf>
    <xf numFmtId="0" fontId="0" fillId="0" borderId="0" xfId="0" applyAlignment="1">
      <alignment horizontal="left"/>
    </xf>
    <xf numFmtId="0" fontId="0" fillId="8" borderId="4" xfId="0" applyFill="1" applyBorder="1" applyAlignment="1">
      <alignment horizontal="left" vertical="top" wrapText="1"/>
    </xf>
    <xf numFmtId="0" fontId="2" fillId="4" borderId="1" xfId="0" applyFont="1" applyFill="1" applyBorder="1" applyAlignment="1">
      <alignment horizontal="left"/>
    </xf>
    <xf numFmtId="0" fontId="0" fillId="6" borderId="4" xfId="0" applyFill="1" applyBorder="1" applyAlignment="1">
      <alignment horizontal="left" vertical="top" wrapText="1"/>
    </xf>
    <xf numFmtId="0" fontId="0" fillId="6" borderId="4" xfId="0" applyFill="1" applyBorder="1" applyAlignment="1">
      <alignment vertical="top" wrapText="1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right"/>
    </xf>
    <xf numFmtId="2" fontId="2" fillId="4" borderId="1" xfId="0" applyNumberFormat="1" applyFont="1" applyFill="1" applyBorder="1"/>
    <xf numFmtId="164" fontId="2" fillId="4" borderId="1" xfId="0" applyNumberFormat="1" applyFont="1" applyFill="1" applyBorder="1"/>
    <xf numFmtId="1" fontId="2" fillId="4" borderId="1" xfId="0" applyNumberFormat="1" applyFont="1" applyFill="1" applyBorder="1"/>
    <xf numFmtId="164" fontId="2" fillId="4" borderId="1" xfId="0" applyNumberFormat="1" applyFont="1" applyFill="1" applyBorder="1" applyAlignment="1">
      <alignment horizontal="right"/>
    </xf>
    <xf numFmtId="2" fontId="2" fillId="4" borderId="1" xfId="0" applyNumberFormat="1" applyFont="1" applyFill="1" applyBorder="1" applyAlignment="1">
      <alignment horizontal="right"/>
    </xf>
    <xf numFmtId="164" fontId="0" fillId="2" borderId="2" xfId="0" applyNumberFormat="1" applyFill="1" applyBorder="1" applyAlignment="1">
      <alignment horizontal="left"/>
    </xf>
    <xf numFmtId="164" fontId="2" fillId="3" borderId="1" xfId="0" applyNumberFormat="1" applyFont="1" applyFill="1" applyBorder="1" applyAlignment="1">
      <alignment horizontal="left"/>
    </xf>
    <xf numFmtId="164" fontId="0" fillId="3" borderId="1" xfId="0" applyNumberFormat="1" applyFill="1" applyBorder="1" applyAlignment="1">
      <alignment horizontal="left"/>
    </xf>
    <xf numFmtId="164" fontId="0" fillId="9" borderId="1" xfId="0" applyNumberFormat="1" applyFill="1" applyBorder="1" applyAlignment="1">
      <alignment horizontal="left"/>
    </xf>
    <xf numFmtId="164" fontId="0" fillId="4" borderId="1" xfId="0" applyNumberFormat="1" applyFont="1" applyFill="1" applyBorder="1" applyAlignment="1">
      <alignment horizontal="left"/>
    </xf>
    <xf numFmtId="164" fontId="6" fillId="4" borderId="1" xfId="0" applyNumberFormat="1" applyFont="1" applyFill="1" applyBorder="1" applyAlignment="1">
      <alignment horizontal="left"/>
    </xf>
    <xf numFmtId="164" fontId="7" fillId="4" borderId="1" xfId="0" applyNumberFormat="1" applyFont="1" applyFill="1" applyBorder="1" applyAlignment="1">
      <alignment horizontal="left"/>
    </xf>
    <xf numFmtId="164" fontId="0" fillId="8" borderId="1" xfId="0" applyNumberFormat="1" applyFill="1" applyBorder="1" applyAlignment="1">
      <alignment horizontal="left"/>
    </xf>
    <xf numFmtId="164" fontId="0" fillId="5" borderId="1" xfId="0" applyNumberForma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left"/>
    </xf>
    <xf numFmtId="0" fontId="10" fillId="4" borderId="1" xfId="0" applyFont="1" applyFill="1" applyBorder="1" applyAlignment="1">
      <alignment horizontal="left"/>
    </xf>
    <xf numFmtId="164" fontId="10" fillId="4" borderId="1" xfId="0" applyNumberFormat="1" applyFont="1" applyFill="1" applyBorder="1"/>
    <xf numFmtId="164" fontId="10" fillId="4" borderId="1" xfId="0" applyNumberFormat="1" applyFont="1" applyFill="1" applyBorder="1" applyAlignment="1">
      <alignment horizontal="right"/>
    </xf>
    <xf numFmtId="164" fontId="10" fillId="4" borderId="1" xfId="0" applyNumberFormat="1" applyFont="1" applyFill="1" applyBorder="1" applyAlignment="1">
      <alignment horizontal="left"/>
    </xf>
    <xf numFmtId="0" fontId="4" fillId="0" borderId="0" xfId="0" applyFont="1"/>
    <xf numFmtId="1" fontId="4" fillId="4" borderId="0" xfId="0" applyNumberFormat="1" applyFont="1" applyFill="1"/>
    <xf numFmtId="0" fontId="10" fillId="5" borderId="1" xfId="0" applyFont="1" applyFill="1" applyBorder="1" applyAlignment="1">
      <alignment horizontal="left"/>
    </xf>
    <xf numFmtId="0" fontId="10" fillId="5" borderId="1" xfId="0" applyFont="1" applyFill="1" applyBorder="1"/>
    <xf numFmtId="164" fontId="4" fillId="5" borderId="1" xfId="0" applyNumberFormat="1" applyFont="1" applyFill="1" applyBorder="1"/>
    <xf numFmtId="164" fontId="10" fillId="5" borderId="1" xfId="0" applyNumberFormat="1" applyFont="1" applyFill="1" applyBorder="1" applyAlignment="1">
      <alignment horizontal="right"/>
    </xf>
    <xf numFmtId="164" fontId="10" fillId="5" borderId="1" xfId="0" applyNumberFormat="1" applyFont="1" applyFill="1" applyBorder="1"/>
    <xf numFmtId="0" fontId="4" fillId="5" borderId="1" xfId="0" applyFont="1" applyFill="1" applyBorder="1"/>
    <xf numFmtId="0" fontId="4" fillId="5" borderId="1" xfId="0" applyFont="1" applyFill="1" applyBorder="1" applyAlignment="1">
      <alignment horizontal="right"/>
    </xf>
    <xf numFmtId="0" fontId="4" fillId="5" borderId="1" xfId="0" applyFont="1" applyFill="1" applyBorder="1" applyAlignment="1">
      <alignment horizontal="left"/>
    </xf>
    <xf numFmtId="2" fontId="4" fillId="5" borderId="1" xfId="0" applyNumberFormat="1" applyFont="1" applyFill="1" applyBorder="1"/>
    <xf numFmtId="1" fontId="4" fillId="5" borderId="1" xfId="0" applyNumberFormat="1" applyFont="1" applyFill="1" applyBorder="1"/>
    <xf numFmtId="0" fontId="10" fillId="5" borderId="1" xfId="0" applyFont="1" applyFill="1" applyBorder="1" applyAlignment="1">
      <alignment horizontal="right"/>
    </xf>
    <xf numFmtId="0" fontId="9" fillId="11" borderId="7" xfId="0" applyFont="1" applyFill="1" applyBorder="1" applyAlignment="1">
      <alignment vertical="top" wrapText="1"/>
    </xf>
    <xf numFmtId="0" fontId="9" fillId="11" borderId="8" xfId="0" applyFont="1" applyFill="1" applyBorder="1" applyAlignment="1">
      <alignment vertical="top" wrapText="1"/>
    </xf>
    <xf numFmtId="0" fontId="9" fillId="11" borderId="9" xfId="0" applyFont="1" applyFill="1" applyBorder="1" applyAlignment="1">
      <alignment vertical="top" wrapText="1"/>
    </xf>
    <xf numFmtId="0" fontId="9" fillId="11" borderId="7" xfId="0" applyFont="1" applyFill="1" applyBorder="1" applyAlignment="1">
      <alignment horizontal="left" vertical="top" wrapText="1"/>
    </xf>
    <xf numFmtId="0" fontId="0" fillId="10" borderId="10" xfId="0" applyFill="1" applyBorder="1" applyAlignment="1">
      <alignment vertical="top" wrapText="1"/>
    </xf>
    <xf numFmtId="0" fontId="0" fillId="0" borderId="6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</cellXfs>
  <cellStyles count="1">
    <cellStyle name="Normal" xfId="0" builtinId="0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47625</xdr:rowOff>
        </xdr:from>
        <xdr:to>
          <xdr:col>3</xdr:col>
          <xdr:colOff>1428750</xdr:colOff>
          <xdr:row>2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</xdr:row>
          <xdr:rowOff>66675</xdr:rowOff>
        </xdr:from>
        <xdr:to>
          <xdr:col>13</xdr:col>
          <xdr:colOff>447675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152400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1085850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152400</xdr:rowOff>
        </xdr:from>
        <xdr:to>
          <xdr:col>2</xdr:col>
          <xdr:colOff>1076325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171450</xdr:rowOff>
        </xdr:from>
        <xdr:to>
          <xdr:col>3</xdr:col>
          <xdr:colOff>581025</xdr:colOff>
          <xdr:row>2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1F6F5A-6EAD-4217-B50E-CB86F25F839F}" name="Table1" displayName="Table1" ref="A4:Q70" totalsRowShown="0" headerRowDxfId="15" dataDxfId="14">
  <autoFilter ref="A4:Q70" xr:uid="{2F04DD65-2D1E-4964-971D-F8FEEE4F7E3D}"/>
  <tableColumns count="17">
    <tableColumn id="1" xr3:uid="{EBC4954F-B85A-4D4A-8B26-3C0E854694A6}" name="Column1"/>
    <tableColumn id="2" xr3:uid="{591302F1-DFC7-42D9-8045-8DE3A3D99BC0}" name="Column2"/>
    <tableColumn id="3" xr3:uid="{AB0D409C-226E-443D-86D0-22E711B0643C}" name="Column3"/>
    <tableColumn id="4" xr3:uid="{D34E6F16-E615-465D-8713-D4AD661897C2}" name="Column4" dataDxfId="13">
      <calculatedColumnFormula>0.95*D4</calculatedColumnFormula>
    </tableColumn>
    <tableColumn id="5" xr3:uid="{DE454E6F-0B9A-43E1-8469-9D67FF48F288}" name="Column5" dataDxfId="12">
      <calculatedColumnFormula>_xlfn.TEXTJOIN(",",TRUE,H5,J5,L5,N5,P5)</calculatedColumnFormula>
    </tableColumn>
    <tableColumn id="6" xr3:uid="{C5B899C4-44AB-45F9-B294-6A23999EF14F}" name="Column6" dataDxfId="11">
      <calculatedColumnFormula>_xlfn.TEXTJOIN(",",TRUE,I5,K5,M5,O5,Q5)</calculatedColumnFormula>
    </tableColumn>
    <tableColumn id="7" xr3:uid="{FB2CBD26-86FE-427C-9D9D-7F2A258016E3}" name="Column7" dataDxfId="10"/>
    <tableColumn id="8" xr3:uid="{5F7E7D06-51C5-4916-99C1-C1DCC65EB92A}" name="Column8" dataDxfId="9"/>
    <tableColumn id="9" xr3:uid="{BF603519-BB70-4EE6-BDD9-16BB841E9CA0}" name="Column9" dataDxfId="8"/>
    <tableColumn id="10" xr3:uid="{1CA1FF0F-8E06-46B7-A2B6-01E95D4688F3}" name="Column10" dataDxfId="7"/>
    <tableColumn id="11" xr3:uid="{C118EB1C-B490-419F-B256-6ECD69FD9904}" name="Column11" dataDxfId="6"/>
    <tableColumn id="12" xr3:uid="{A9F4C01B-6A18-44B7-9BFC-767889475B10}" name="Column12" dataDxfId="5"/>
    <tableColumn id="13" xr3:uid="{55D1EAC6-F99E-42FF-B36B-64167D58B2A9}" name="Column13" dataDxfId="4"/>
    <tableColumn id="14" xr3:uid="{16F38FC3-979E-402F-8079-6516C4BF0CA8}" name="Column14" dataDxfId="3"/>
    <tableColumn id="15" xr3:uid="{188C3F2D-5758-4177-B50B-A0F16F979218}" name="Column15" dataDxfId="2"/>
    <tableColumn id="16" xr3:uid="{5051A296-BC6E-4974-9EB3-8CC6FE08301F}" name="Column16" dataDxfId="1"/>
    <tableColumn id="17" xr3:uid="{294AB26D-28A8-4677-AD94-4966BDE5FA21}" name="Column1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2D02-822E-4D62-85A6-11F0B47597D2}">
  <sheetPr codeName="Sheet1"/>
  <dimension ref="A1:AO68"/>
  <sheetViews>
    <sheetView zoomScaleNormal="100" workbookViewId="0">
      <pane xSplit="1" ySplit="4" topLeftCell="H14" activePane="bottomRight" state="frozen"/>
      <selection pane="topRight" activeCell="B1" sqref="B1"/>
      <selection pane="bottomLeft" activeCell="A5" sqref="A5"/>
      <selection pane="bottomRight" activeCell="AE7" sqref="AE7"/>
    </sheetView>
  </sheetViews>
  <sheetFormatPr defaultRowHeight="15" x14ac:dyDescent="0.25"/>
  <cols>
    <col min="2" max="2" width="9.140625" style="2"/>
    <col min="3" max="3" width="10.7109375" style="2" customWidth="1"/>
    <col min="4" max="4" width="29.28515625" customWidth="1"/>
    <col min="5" max="5" width="7.7109375" customWidth="1"/>
    <col min="6" max="6" width="7.85546875" customWidth="1"/>
    <col min="8" max="8" width="5.28515625" customWidth="1"/>
    <col min="9" max="9" width="15.140625" style="108" customWidth="1"/>
    <col min="10" max="10" width="7.140625" customWidth="1"/>
    <col min="11" max="11" width="7" customWidth="1"/>
    <col min="12" max="12" width="7.140625" customWidth="1"/>
    <col min="13" max="13" width="17.5703125" style="108" customWidth="1"/>
    <col min="14" max="14" width="10.5703125" style="108" customWidth="1"/>
    <col min="15" max="15" width="12.85546875" customWidth="1"/>
    <col min="16" max="16" width="8" customWidth="1"/>
    <col min="17" max="17" width="7.42578125" customWidth="1"/>
    <col min="18" max="18" width="10.85546875" style="108" customWidth="1"/>
    <col min="19" max="20" width="5.7109375" customWidth="1"/>
    <col min="21" max="21" width="9" bestFit="1" customWidth="1"/>
    <col min="22" max="22" width="6.85546875" bestFit="1" customWidth="1"/>
    <col min="23" max="23" width="8.85546875" customWidth="1"/>
    <col min="24" max="24" width="5.7109375" customWidth="1"/>
    <col min="25" max="25" width="8.85546875" bestFit="1" customWidth="1"/>
    <col min="26" max="26" width="6.85546875" customWidth="1"/>
    <col min="27" max="27" width="7" customWidth="1"/>
    <col min="28" max="28" width="11" bestFit="1" customWidth="1"/>
    <col min="29" max="29" width="16.140625" bestFit="1" customWidth="1"/>
    <col min="30" max="30" width="5.7109375" customWidth="1"/>
    <col min="31" max="31" width="14.5703125" style="108" customWidth="1"/>
    <col min="32" max="32" width="5.7109375" customWidth="1"/>
    <col min="33" max="33" width="5.28515625" customWidth="1"/>
    <col min="34" max="34" width="6.140625" customWidth="1"/>
    <col min="35" max="35" width="2.42578125" customWidth="1"/>
    <col min="37" max="37" width="22" bestFit="1" customWidth="1"/>
    <col min="40" max="40" width="13.42578125" bestFit="1" customWidth="1"/>
    <col min="41" max="41" width="19.140625" bestFit="1" customWidth="1"/>
  </cols>
  <sheetData>
    <row r="1" spans="1:41" ht="15.75" thickBot="1" x14ac:dyDescent="0.3"/>
    <row r="2" spans="1:41" x14ac:dyDescent="0.25">
      <c r="B2" s="1" t="s">
        <v>177</v>
      </c>
      <c r="C2" s="1" t="s">
        <v>290</v>
      </c>
      <c r="S2" s="157" t="s">
        <v>281</v>
      </c>
      <c r="T2" s="158" t="s">
        <v>193</v>
      </c>
      <c r="U2" s="159" t="s">
        <v>320</v>
      </c>
      <c r="V2" s="157" t="s">
        <v>119</v>
      </c>
      <c r="W2" s="158" t="s">
        <v>319</v>
      </c>
      <c r="X2" s="159"/>
      <c r="Y2" s="157" t="s">
        <v>310</v>
      </c>
      <c r="Z2" s="158" t="s">
        <v>317</v>
      </c>
      <c r="AA2" s="159" t="s">
        <v>318</v>
      </c>
      <c r="AB2" s="157" t="s">
        <v>289</v>
      </c>
      <c r="AC2" s="158"/>
      <c r="AD2" s="159"/>
      <c r="AE2" s="160" t="s">
        <v>308</v>
      </c>
      <c r="AF2" s="158"/>
      <c r="AG2" s="159"/>
      <c r="AH2" s="153"/>
    </row>
    <row r="3" spans="1:41" ht="15.75" thickBot="1" x14ac:dyDescent="0.3">
      <c r="S3" s="154" t="s">
        <v>282</v>
      </c>
      <c r="T3" s="155"/>
      <c r="U3" s="156" t="s">
        <v>24</v>
      </c>
      <c r="V3" s="154" t="s">
        <v>321</v>
      </c>
      <c r="W3" s="155" t="s">
        <v>322</v>
      </c>
      <c r="X3" s="156"/>
      <c r="Y3" s="154"/>
      <c r="Z3" s="155"/>
      <c r="AA3" s="156"/>
      <c r="AB3" s="154"/>
      <c r="AC3" s="155" t="s">
        <v>306</v>
      </c>
      <c r="AD3" s="156"/>
      <c r="AE3" s="161" t="s">
        <v>309</v>
      </c>
      <c r="AF3" s="155"/>
      <c r="AG3" s="156"/>
      <c r="AH3" s="153"/>
    </row>
    <row r="4" spans="1:41" ht="46.5" customHeight="1" thickBot="1" x14ac:dyDescent="0.3">
      <c r="A4" s="68" t="s">
        <v>0</v>
      </c>
      <c r="B4" s="69" t="s">
        <v>1</v>
      </c>
      <c r="C4" s="65" t="s">
        <v>61</v>
      </c>
      <c r="D4" s="70" t="s">
        <v>3</v>
      </c>
      <c r="E4" s="71" t="s">
        <v>4</v>
      </c>
      <c r="F4" s="71" t="s">
        <v>5</v>
      </c>
      <c r="G4" s="71" t="s">
        <v>2</v>
      </c>
      <c r="H4" s="71" t="s">
        <v>115</v>
      </c>
      <c r="I4" s="111" t="s">
        <v>111</v>
      </c>
      <c r="J4" s="112" t="s">
        <v>112</v>
      </c>
      <c r="K4" s="112" t="s">
        <v>113</v>
      </c>
      <c r="L4" s="112" t="s">
        <v>114</v>
      </c>
      <c r="M4" s="109" t="s">
        <v>116</v>
      </c>
      <c r="N4" s="109" t="s">
        <v>219</v>
      </c>
      <c r="O4" s="66" t="s">
        <v>220</v>
      </c>
      <c r="P4" s="66" t="s">
        <v>221</v>
      </c>
      <c r="Q4" s="66" t="s">
        <v>222</v>
      </c>
      <c r="R4" s="109" t="s">
        <v>117</v>
      </c>
      <c r="S4" s="148" t="s">
        <v>272</v>
      </c>
      <c r="T4" s="149" t="s">
        <v>273</v>
      </c>
      <c r="U4" s="150" t="s">
        <v>274</v>
      </c>
      <c r="V4" s="148" t="s">
        <v>275</v>
      </c>
      <c r="W4" s="149" t="s">
        <v>276</v>
      </c>
      <c r="X4" s="150" t="s">
        <v>277</v>
      </c>
      <c r="Y4" s="148" t="s">
        <v>280</v>
      </c>
      <c r="Z4" s="149" t="s">
        <v>278</v>
      </c>
      <c r="AA4" s="150" t="s">
        <v>279</v>
      </c>
      <c r="AB4" s="148" t="s">
        <v>283</v>
      </c>
      <c r="AC4" s="149" t="s">
        <v>287</v>
      </c>
      <c r="AD4" s="150" t="s">
        <v>288</v>
      </c>
      <c r="AE4" s="151" t="s">
        <v>286</v>
      </c>
      <c r="AF4" s="149" t="s">
        <v>285</v>
      </c>
      <c r="AG4" s="150" t="s">
        <v>284</v>
      </c>
      <c r="AH4" s="152" t="s">
        <v>6</v>
      </c>
      <c r="AN4" s="11" t="s">
        <v>87</v>
      </c>
      <c r="AO4" s="11" t="s">
        <v>88</v>
      </c>
    </row>
    <row r="5" spans="1:41" x14ac:dyDescent="0.25">
      <c r="A5" s="58" t="s">
        <v>7</v>
      </c>
      <c r="B5" s="59" t="s">
        <v>7</v>
      </c>
      <c r="C5" s="59" t="s">
        <v>79</v>
      </c>
      <c r="D5" s="60" t="s">
        <v>167</v>
      </c>
      <c r="E5" s="58"/>
      <c r="F5" s="61">
        <v>0.2</v>
      </c>
      <c r="G5" s="62">
        <v>2</v>
      </c>
      <c r="H5" s="63">
        <v>1</v>
      </c>
      <c r="I5" s="60" t="s">
        <v>39</v>
      </c>
      <c r="J5" s="58">
        <v>2</v>
      </c>
      <c r="K5" s="62">
        <v>3</v>
      </c>
      <c r="L5" s="62">
        <v>3</v>
      </c>
      <c r="M5" s="60" t="s">
        <v>108</v>
      </c>
      <c r="N5" s="60" t="s">
        <v>121</v>
      </c>
      <c r="O5" s="60"/>
      <c r="P5" s="64"/>
      <c r="Q5" s="64"/>
      <c r="R5" s="60" t="s">
        <v>118</v>
      </c>
      <c r="S5" s="62">
        <v>10</v>
      </c>
      <c r="T5" s="61">
        <v>10</v>
      </c>
      <c r="U5" s="64"/>
      <c r="V5" s="61"/>
      <c r="W5" s="64"/>
      <c r="X5" s="64"/>
      <c r="Y5" s="64"/>
      <c r="Z5" s="64"/>
      <c r="AA5" s="64"/>
      <c r="AB5" s="60"/>
      <c r="AC5" s="64"/>
      <c r="AD5" s="64"/>
      <c r="AE5" s="120"/>
      <c r="AF5" s="64"/>
      <c r="AG5" s="64"/>
      <c r="AH5" s="62">
        <v>10</v>
      </c>
      <c r="AN5" s="12">
        <f>FLOOR(F5/$AL$13,1)</f>
        <v>20</v>
      </c>
      <c r="AO5" s="12">
        <v>7</v>
      </c>
    </row>
    <row r="6" spans="1:41" x14ac:dyDescent="0.25">
      <c r="A6" s="44" t="s">
        <v>165</v>
      </c>
      <c r="B6" s="45" t="s">
        <v>165</v>
      </c>
      <c r="C6" s="45" t="s">
        <v>79</v>
      </c>
      <c r="D6" s="46" t="s">
        <v>183</v>
      </c>
      <c r="E6" s="44"/>
      <c r="F6" s="47">
        <v>0.2</v>
      </c>
      <c r="G6" s="48">
        <v>2</v>
      </c>
      <c r="H6" s="49">
        <v>1</v>
      </c>
      <c r="I6" s="46" t="s">
        <v>40</v>
      </c>
      <c r="J6" s="44">
        <v>2</v>
      </c>
      <c r="K6" s="48">
        <v>5</v>
      </c>
      <c r="L6" s="48">
        <v>1</v>
      </c>
      <c r="M6" s="46" t="s">
        <v>108</v>
      </c>
      <c r="N6" s="46" t="s">
        <v>121</v>
      </c>
      <c r="O6" s="46"/>
      <c r="P6" s="50"/>
      <c r="Q6" s="50"/>
      <c r="R6" s="46" t="s">
        <v>118</v>
      </c>
      <c r="S6" s="48">
        <v>15</v>
      </c>
      <c r="T6" s="47">
        <v>10</v>
      </c>
      <c r="U6" s="50"/>
      <c r="V6" s="47"/>
      <c r="W6" s="50"/>
      <c r="X6" s="50"/>
      <c r="Y6" s="50"/>
      <c r="Z6" s="50"/>
      <c r="AA6" s="50"/>
      <c r="AB6" s="46"/>
      <c r="AC6" s="50"/>
      <c r="AD6" s="50"/>
      <c r="AE6" s="121"/>
      <c r="AF6" s="50"/>
      <c r="AG6" s="50"/>
      <c r="AH6" s="48">
        <v>10</v>
      </c>
      <c r="AN6" s="12">
        <f t="shared" ref="AN6:AN61" si="0">FLOOR(F6/$AL$13,1)</f>
        <v>20</v>
      </c>
      <c r="AO6" s="12">
        <v>7</v>
      </c>
    </row>
    <row r="7" spans="1:41" x14ac:dyDescent="0.25">
      <c r="A7" s="44" t="s">
        <v>151</v>
      </c>
      <c r="B7" s="45" t="s">
        <v>151</v>
      </c>
      <c r="C7" s="45" t="s">
        <v>79</v>
      </c>
      <c r="D7" s="46" t="s">
        <v>152</v>
      </c>
      <c r="E7" s="44"/>
      <c r="F7" s="47">
        <v>0.35</v>
      </c>
      <c r="G7" s="48">
        <v>3</v>
      </c>
      <c r="H7" s="49">
        <v>1</v>
      </c>
      <c r="I7" s="46" t="s">
        <v>40</v>
      </c>
      <c r="J7" s="44">
        <v>2</v>
      </c>
      <c r="K7" s="48">
        <v>5</v>
      </c>
      <c r="L7" s="48">
        <v>1</v>
      </c>
      <c r="M7" s="46" t="s">
        <v>108</v>
      </c>
      <c r="N7" s="46" t="s">
        <v>121</v>
      </c>
      <c r="O7" s="46"/>
      <c r="P7" s="50"/>
      <c r="Q7" s="50"/>
      <c r="R7" s="46" t="s">
        <v>118</v>
      </c>
      <c r="S7" s="48">
        <v>15</v>
      </c>
      <c r="T7" s="47">
        <v>10</v>
      </c>
      <c r="U7" s="50"/>
      <c r="V7" s="47"/>
      <c r="W7" s="50"/>
      <c r="X7" s="50"/>
      <c r="Y7" s="50"/>
      <c r="Z7" s="50"/>
      <c r="AA7" s="50"/>
      <c r="AB7" s="46"/>
      <c r="AC7" s="50"/>
      <c r="AD7" s="50"/>
      <c r="AE7" s="121"/>
      <c r="AF7" s="50"/>
      <c r="AG7" s="50"/>
      <c r="AH7" s="48">
        <v>10</v>
      </c>
      <c r="AK7" t="s">
        <v>60</v>
      </c>
      <c r="AL7">
        <v>1.5</v>
      </c>
      <c r="AN7" s="7">
        <f t="shared" si="0"/>
        <v>35</v>
      </c>
      <c r="AO7" s="7">
        <v>9</v>
      </c>
    </row>
    <row r="8" spans="1:41" x14ac:dyDescent="0.25">
      <c r="A8" s="44" t="s">
        <v>152</v>
      </c>
      <c r="B8" s="45" t="s">
        <v>152</v>
      </c>
      <c r="C8" s="45" t="s">
        <v>79</v>
      </c>
      <c r="D8" s="46" t="s">
        <v>168</v>
      </c>
      <c r="E8" s="44"/>
      <c r="F8" s="47">
        <v>0.4</v>
      </c>
      <c r="G8" s="48">
        <v>4</v>
      </c>
      <c r="H8" s="49">
        <v>1</v>
      </c>
      <c r="I8" s="46" t="s">
        <v>40</v>
      </c>
      <c r="J8" s="44">
        <v>2</v>
      </c>
      <c r="K8" s="48">
        <v>5</v>
      </c>
      <c r="L8" s="48">
        <v>1</v>
      </c>
      <c r="M8" s="46" t="s">
        <v>108</v>
      </c>
      <c r="N8" s="46" t="s">
        <v>121</v>
      </c>
      <c r="O8" s="46"/>
      <c r="P8" s="50"/>
      <c r="Q8" s="50"/>
      <c r="R8" s="46" t="s">
        <v>118</v>
      </c>
      <c r="S8" s="48">
        <v>20</v>
      </c>
      <c r="T8" s="47">
        <v>10</v>
      </c>
      <c r="U8" s="50"/>
      <c r="V8" s="47"/>
      <c r="W8" s="50"/>
      <c r="X8" s="50"/>
      <c r="Y8" s="50"/>
      <c r="Z8" s="50"/>
      <c r="AA8" s="50"/>
      <c r="AB8" s="46"/>
      <c r="AC8" s="50"/>
      <c r="AD8" s="50"/>
      <c r="AE8" s="121"/>
      <c r="AF8" s="50"/>
      <c r="AG8" s="50"/>
      <c r="AH8" s="48">
        <v>10</v>
      </c>
      <c r="AK8" t="s">
        <v>78</v>
      </c>
      <c r="AL8">
        <v>2.5</v>
      </c>
      <c r="AN8" s="7">
        <f t="shared" si="0"/>
        <v>40</v>
      </c>
      <c r="AO8" s="7">
        <v>12</v>
      </c>
    </row>
    <row r="9" spans="1:41" x14ac:dyDescent="0.25">
      <c r="A9" s="44" t="s">
        <v>153</v>
      </c>
      <c r="B9" s="45" t="s">
        <v>153</v>
      </c>
      <c r="C9" s="45" t="s">
        <v>79</v>
      </c>
      <c r="D9" s="46" t="s">
        <v>169</v>
      </c>
      <c r="E9" s="44"/>
      <c r="F9" s="47">
        <v>0.4</v>
      </c>
      <c r="G9" s="48">
        <v>6</v>
      </c>
      <c r="H9" s="49">
        <v>1</v>
      </c>
      <c r="I9" s="46" t="s">
        <v>41</v>
      </c>
      <c r="J9" s="44">
        <v>2</v>
      </c>
      <c r="K9" s="48">
        <v>5</v>
      </c>
      <c r="L9" s="48">
        <v>5</v>
      </c>
      <c r="M9" s="46" t="s">
        <v>108</v>
      </c>
      <c r="N9" s="46" t="s">
        <v>121</v>
      </c>
      <c r="O9" s="46"/>
      <c r="P9" s="50"/>
      <c r="Q9" s="50"/>
      <c r="R9" s="46" t="s">
        <v>118</v>
      </c>
      <c r="S9" s="48">
        <v>30</v>
      </c>
      <c r="T9" s="47">
        <v>10</v>
      </c>
      <c r="U9" s="50"/>
      <c r="V9" s="47"/>
      <c r="W9" s="50"/>
      <c r="X9" s="50"/>
      <c r="Y9" s="50"/>
      <c r="Z9" s="50"/>
      <c r="AA9" s="50"/>
      <c r="AB9" s="46"/>
      <c r="AC9" s="50"/>
      <c r="AD9" s="50"/>
      <c r="AE9" s="121"/>
      <c r="AF9" s="50"/>
      <c r="AG9" s="50"/>
      <c r="AH9" s="48">
        <v>10</v>
      </c>
      <c r="AN9" s="7">
        <f t="shared" si="0"/>
        <v>40</v>
      </c>
      <c r="AO9" s="7">
        <v>17</v>
      </c>
    </row>
    <row r="10" spans="1:41" x14ac:dyDescent="0.25">
      <c r="A10" s="44" t="s">
        <v>154</v>
      </c>
      <c r="B10" s="45" t="s">
        <v>154</v>
      </c>
      <c r="C10" s="45" t="s">
        <v>79</v>
      </c>
      <c r="D10" s="46" t="s">
        <v>172</v>
      </c>
      <c r="E10" s="44"/>
      <c r="F10" s="47">
        <v>0.4</v>
      </c>
      <c r="G10" s="48">
        <v>6</v>
      </c>
      <c r="H10" s="49">
        <v>1</v>
      </c>
      <c r="I10" s="46" t="s">
        <v>43</v>
      </c>
      <c r="J10" s="44">
        <v>2</v>
      </c>
      <c r="K10" s="48">
        <v>5</v>
      </c>
      <c r="L10" s="48">
        <v>5</v>
      </c>
      <c r="M10" s="46" t="s">
        <v>108</v>
      </c>
      <c r="N10" s="46" t="s">
        <v>121</v>
      </c>
      <c r="O10" s="46"/>
      <c r="P10" s="50"/>
      <c r="Q10" s="50"/>
      <c r="R10" s="46" t="s">
        <v>118</v>
      </c>
      <c r="S10" s="48">
        <v>50</v>
      </c>
      <c r="T10" s="47">
        <v>10</v>
      </c>
      <c r="U10" s="50"/>
      <c r="V10" s="47"/>
      <c r="W10" s="50"/>
      <c r="X10" s="50"/>
      <c r="Y10" s="50"/>
      <c r="Z10" s="50"/>
      <c r="AA10" s="50"/>
      <c r="AB10" s="46"/>
      <c r="AC10" s="50"/>
      <c r="AD10" s="50"/>
      <c r="AE10" s="121"/>
      <c r="AF10" s="50"/>
      <c r="AG10" s="50"/>
      <c r="AH10" s="48">
        <v>10</v>
      </c>
      <c r="AK10" t="s">
        <v>81</v>
      </c>
      <c r="AL10">
        <v>1.2</v>
      </c>
      <c r="AN10" s="7">
        <f t="shared" si="0"/>
        <v>40</v>
      </c>
      <c r="AO10" s="7">
        <v>17</v>
      </c>
    </row>
    <row r="11" spans="1:41" x14ac:dyDescent="0.25">
      <c r="A11" s="19" t="s">
        <v>182</v>
      </c>
      <c r="B11" s="24" t="s">
        <v>182</v>
      </c>
      <c r="C11" s="24" t="s">
        <v>79</v>
      </c>
      <c r="D11" s="20" t="s">
        <v>155</v>
      </c>
      <c r="E11" s="19"/>
      <c r="F11" s="22">
        <v>0.15</v>
      </c>
      <c r="G11" s="21">
        <v>2</v>
      </c>
      <c r="H11" s="23">
        <v>1</v>
      </c>
      <c r="I11" s="20" t="s">
        <v>42</v>
      </c>
      <c r="J11" s="19">
        <v>2</v>
      </c>
      <c r="K11" s="21">
        <v>5</v>
      </c>
      <c r="L11" s="21">
        <v>5</v>
      </c>
      <c r="M11" s="20" t="s">
        <v>108</v>
      </c>
      <c r="N11" s="20" t="s">
        <v>121</v>
      </c>
      <c r="O11" s="20"/>
      <c r="P11" s="40"/>
      <c r="Q11" s="40"/>
      <c r="R11" s="20" t="s">
        <v>118</v>
      </c>
      <c r="S11" s="21">
        <v>15</v>
      </c>
      <c r="T11" s="22">
        <v>10</v>
      </c>
      <c r="U11" s="40"/>
      <c r="V11" s="22"/>
      <c r="W11" s="40"/>
      <c r="X11" s="40"/>
      <c r="Y11" s="40"/>
      <c r="Z11" s="40"/>
      <c r="AA11" s="40"/>
      <c r="AB11" s="20"/>
      <c r="AC11" s="40"/>
      <c r="AD11" s="40"/>
      <c r="AE11" s="122"/>
      <c r="AF11" s="40"/>
      <c r="AG11" s="40"/>
      <c r="AH11" s="21">
        <v>10</v>
      </c>
      <c r="AN11" s="7"/>
      <c r="AO11" s="7"/>
    </row>
    <row r="12" spans="1:41" x14ac:dyDescent="0.25">
      <c r="A12" s="19" t="s">
        <v>155</v>
      </c>
      <c r="B12" s="24" t="s">
        <v>155</v>
      </c>
      <c r="C12" s="24" t="s">
        <v>79</v>
      </c>
      <c r="D12" s="20" t="s">
        <v>156</v>
      </c>
      <c r="E12" s="19"/>
      <c r="F12" s="22">
        <v>0.15</v>
      </c>
      <c r="G12" s="21">
        <v>2</v>
      </c>
      <c r="H12" s="23">
        <v>1</v>
      </c>
      <c r="I12" s="20" t="s">
        <v>42</v>
      </c>
      <c r="J12" s="19">
        <v>2</v>
      </c>
      <c r="K12" s="21">
        <v>5</v>
      </c>
      <c r="L12" s="21">
        <v>5</v>
      </c>
      <c r="M12" s="20" t="s">
        <v>108</v>
      </c>
      <c r="N12" s="20" t="s">
        <v>121</v>
      </c>
      <c r="O12" s="20"/>
      <c r="P12" s="40"/>
      <c r="Q12" s="40"/>
      <c r="R12" s="20" t="s">
        <v>118</v>
      </c>
      <c r="S12" s="21">
        <v>15</v>
      </c>
      <c r="T12" s="22">
        <v>10</v>
      </c>
      <c r="U12" s="40"/>
      <c r="V12" s="22"/>
      <c r="W12" s="40"/>
      <c r="X12" s="40"/>
      <c r="Y12" s="40"/>
      <c r="Z12" s="40"/>
      <c r="AA12" s="40"/>
      <c r="AB12" s="20"/>
      <c r="AC12" s="40"/>
      <c r="AD12" s="40"/>
      <c r="AE12" s="122"/>
      <c r="AF12" s="40"/>
      <c r="AG12" s="40"/>
      <c r="AH12" s="21">
        <v>10</v>
      </c>
      <c r="AK12" t="s">
        <v>85</v>
      </c>
      <c r="AL12" s="10">
        <v>25</v>
      </c>
      <c r="AN12" s="7">
        <f t="shared" si="0"/>
        <v>15</v>
      </c>
      <c r="AO12" s="7">
        <v>7</v>
      </c>
    </row>
    <row r="13" spans="1:41" x14ac:dyDescent="0.25">
      <c r="A13" s="19" t="s">
        <v>156</v>
      </c>
      <c r="B13" s="24" t="s">
        <v>156</v>
      </c>
      <c r="C13" s="24" t="s">
        <v>79</v>
      </c>
      <c r="D13" s="20" t="s">
        <v>157</v>
      </c>
      <c r="E13" s="19"/>
      <c r="F13" s="22">
        <v>0.1</v>
      </c>
      <c r="G13" s="21">
        <v>2</v>
      </c>
      <c r="H13" s="23">
        <v>1</v>
      </c>
      <c r="I13" s="20" t="s">
        <v>41</v>
      </c>
      <c r="J13" s="19">
        <v>2</v>
      </c>
      <c r="K13" s="21">
        <v>5</v>
      </c>
      <c r="L13" s="21">
        <v>5</v>
      </c>
      <c r="M13" s="20" t="s">
        <v>108</v>
      </c>
      <c r="N13" s="20" t="s">
        <v>121</v>
      </c>
      <c r="O13" s="20"/>
      <c r="P13" s="40"/>
      <c r="Q13" s="40"/>
      <c r="R13" s="20" t="s">
        <v>118</v>
      </c>
      <c r="S13" s="21">
        <v>20</v>
      </c>
      <c r="T13" s="22">
        <v>10</v>
      </c>
      <c r="U13" s="40"/>
      <c r="V13" s="22"/>
      <c r="W13" s="40"/>
      <c r="X13" s="40"/>
      <c r="Y13" s="40"/>
      <c r="Z13" s="40"/>
      <c r="AA13" s="40"/>
      <c r="AB13" s="20"/>
      <c r="AC13" s="40"/>
      <c r="AD13" s="40"/>
      <c r="AE13" s="122"/>
      <c r="AF13" s="40"/>
      <c r="AG13" s="40"/>
      <c r="AH13" s="21">
        <v>10</v>
      </c>
      <c r="AK13" t="s">
        <v>86</v>
      </c>
      <c r="AL13">
        <v>0.01</v>
      </c>
      <c r="AN13" s="7">
        <f t="shared" si="0"/>
        <v>10</v>
      </c>
      <c r="AO13" s="7">
        <v>7</v>
      </c>
    </row>
    <row r="14" spans="1:41" x14ac:dyDescent="0.25">
      <c r="A14" s="19" t="s">
        <v>157</v>
      </c>
      <c r="B14" s="24" t="s">
        <v>157</v>
      </c>
      <c r="C14" s="24" t="s">
        <v>79</v>
      </c>
      <c r="D14" s="20"/>
      <c r="E14" s="19"/>
      <c r="F14" s="22">
        <v>7.4999999999999997E-2</v>
      </c>
      <c r="G14" s="21">
        <v>2</v>
      </c>
      <c r="H14" s="23">
        <v>1</v>
      </c>
      <c r="I14" s="20" t="s">
        <v>43</v>
      </c>
      <c r="J14" s="19">
        <v>3</v>
      </c>
      <c r="K14" s="21">
        <v>5</v>
      </c>
      <c r="L14" s="21">
        <v>5</v>
      </c>
      <c r="M14" s="20" t="s">
        <v>108</v>
      </c>
      <c r="N14" s="20" t="s">
        <v>121</v>
      </c>
      <c r="O14" s="20"/>
      <c r="P14" s="40"/>
      <c r="Q14" s="40"/>
      <c r="R14" s="20" t="s">
        <v>118</v>
      </c>
      <c r="S14" s="21">
        <v>25</v>
      </c>
      <c r="T14" s="22">
        <v>10</v>
      </c>
      <c r="U14" s="40"/>
      <c r="V14" s="22"/>
      <c r="W14" s="40"/>
      <c r="X14" s="40"/>
      <c r="Y14" s="40"/>
      <c r="Z14" s="40"/>
      <c r="AA14" s="40"/>
      <c r="AB14" s="20"/>
      <c r="AC14" s="40"/>
      <c r="AD14" s="40"/>
      <c r="AE14" s="122"/>
      <c r="AF14" s="40"/>
      <c r="AG14" s="40"/>
      <c r="AH14" s="21">
        <v>10</v>
      </c>
      <c r="AN14" s="7">
        <f t="shared" si="0"/>
        <v>7</v>
      </c>
      <c r="AO14" s="7">
        <v>7</v>
      </c>
    </row>
    <row r="15" spans="1:41" x14ac:dyDescent="0.25">
      <c r="A15" s="44" t="s">
        <v>158</v>
      </c>
      <c r="B15" s="45" t="s">
        <v>158</v>
      </c>
      <c r="C15" s="45" t="s">
        <v>79</v>
      </c>
      <c r="D15" s="46" t="s">
        <v>159</v>
      </c>
      <c r="E15" s="44"/>
      <c r="F15" s="47">
        <v>0.5</v>
      </c>
      <c r="G15" s="48">
        <v>2</v>
      </c>
      <c r="H15" s="49">
        <v>1</v>
      </c>
      <c r="I15" s="46" t="s">
        <v>42</v>
      </c>
      <c r="J15" s="44">
        <v>2</v>
      </c>
      <c r="K15" s="48">
        <v>5</v>
      </c>
      <c r="L15" s="48">
        <v>5</v>
      </c>
      <c r="M15" s="46" t="s">
        <v>108</v>
      </c>
      <c r="N15" s="46" t="s">
        <v>121</v>
      </c>
      <c r="O15" s="46"/>
      <c r="P15" s="50"/>
      <c r="Q15" s="50"/>
      <c r="R15" s="46" t="s">
        <v>118</v>
      </c>
      <c r="S15" s="48">
        <v>50</v>
      </c>
      <c r="T15" s="47">
        <v>10</v>
      </c>
      <c r="U15" s="50"/>
      <c r="V15" s="47"/>
      <c r="W15" s="50"/>
      <c r="X15" s="50"/>
      <c r="Y15" s="50"/>
      <c r="Z15" s="50"/>
      <c r="AA15" s="50"/>
      <c r="AB15" s="46"/>
      <c r="AC15" s="50"/>
      <c r="AD15" s="50"/>
      <c r="AE15" s="121"/>
      <c r="AF15" s="50"/>
      <c r="AG15" s="50"/>
      <c r="AH15" s="48">
        <v>10</v>
      </c>
      <c r="AN15" s="7">
        <f t="shared" si="0"/>
        <v>50</v>
      </c>
      <c r="AO15" s="7">
        <v>7</v>
      </c>
    </row>
    <row r="16" spans="1:41" x14ac:dyDescent="0.25">
      <c r="A16" s="44" t="s">
        <v>159</v>
      </c>
      <c r="B16" s="45" t="s">
        <v>159</v>
      </c>
      <c r="C16" s="45" t="s">
        <v>79</v>
      </c>
      <c r="D16" s="46" t="s">
        <v>170</v>
      </c>
      <c r="E16" s="44"/>
      <c r="F16" s="47">
        <v>0.7</v>
      </c>
      <c r="G16" s="48">
        <v>3</v>
      </c>
      <c r="H16" s="49">
        <v>1</v>
      </c>
      <c r="I16" s="46" t="s">
        <v>41</v>
      </c>
      <c r="J16" s="44">
        <v>2</v>
      </c>
      <c r="K16" s="48">
        <v>5</v>
      </c>
      <c r="L16" s="48">
        <v>5</v>
      </c>
      <c r="M16" s="46" t="s">
        <v>108</v>
      </c>
      <c r="N16" s="46" t="s">
        <v>121</v>
      </c>
      <c r="O16" s="46"/>
      <c r="P16" s="50"/>
      <c r="Q16" s="50"/>
      <c r="R16" s="46" t="s">
        <v>118</v>
      </c>
      <c r="S16" s="48">
        <v>100</v>
      </c>
      <c r="T16" s="47">
        <v>10</v>
      </c>
      <c r="U16" s="50"/>
      <c r="V16" s="47"/>
      <c r="W16" s="50"/>
      <c r="X16" s="50"/>
      <c r="Y16" s="50"/>
      <c r="Z16" s="50"/>
      <c r="AA16" s="50"/>
      <c r="AB16" s="46"/>
      <c r="AC16" s="50"/>
      <c r="AD16" s="50"/>
      <c r="AE16" s="121"/>
      <c r="AF16" s="50"/>
      <c r="AG16" s="50"/>
      <c r="AH16" s="48">
        <v>10</v>
      </c>
      <c r="AN16" s="7">
        <f t="shared" si="0"/>
        <v>70</v>
      </c>
      <c r="AO16" s="7">
        <v>9</v>
      </c>
    </row>
    <row r="17" spans="1:41" x14ac:dyDescent="0.25">
      <c r="A17" s="44" t="s">
        <v>160</v>
      </c>
      <c r="B17" s="45" t="s">
        <v>160</v>
      </c>
      <c r="C17" s="45" t="s">
        <v>79</v>
      </c>
      <c r="D17" s="46" t="s">
        <v>171</v>
      </c>
      <c r="E17" s="44"/>
      <c r="F17" s="47">
        <v>0.9</v>
      </c>
      <c r="G17" s="48">
        <v>4</v>
      </c>
      <c r="H17" s="49">
        <v>1</v>
      </c>
      <c r="I17" s="46" t="s">
        <v>43</v>
      </c>
      <c r="J17" s="44">
        <v>2</v>
      </c>
      <c r="K17" s="48">
        <v>5</v>
      </c>
      <c r="L17" s="48">
        <v>5</v>
      </c>
      <c r="M17" s="46" t="s">
        <v>108</v>
      </c>
      <c r="N17" s="46" t="s">
        <v>121</v>
      </c>
      <c r="O17" s="46"/>
      <c r="P17" s="50"/>
      <c r="Q17" s="50"/>
      <c r="R17" s="46" t="s">
        <v>118</v>
      </c>
      <c r="S17" s="48">
        <v>200</v>
      </c>
      <c r="T17" s="47">
        <v>10</v>
      </c>
      <c r="U17" s="50"/>
      <c r="V17" s="47"/>
      <c r="W17" s="50"/>
      <c r="X17" s="50"/>
      <c r="Y17" s="50"/>
      <c r="Z17" s="50"/>
      <c r="AA17" s="50"/>
      <c r="AB17" s="46"/>
      <c r="AC17" s="50"/>
      <c r="AD17" s="50"/>
      <c r="AE17" s="121"/>
      <c r="AF17" s="50"/>
      <c r="AG17" s="50"/>
      <c r="AH17" s="48">
        <v>10</v>
      </c>
      <c r="AN17" s="7">
        <f t="shared" si="0"/>
        <v>90</v>
      </c>
      <c r="AO17" s="7">
        <v>12</v>
      </c>
    </row>
    <row r="18" spans="1:41" x14ac:dyDescent="0.25">
      <c r="A18" s="44" t="s">
        <v>161</v>
      </c>
      <c r="B18" s="45" t="s">
        <v>161</v>
      </c>
      <c r="C18" s="45" t="s">
        <v>79</v>
      </c>
      <c r="D18" s="46" t="s">
        <v>157</v>
      </c>
      <c r="E18" s="44"/>
      <c r="F18" s="47">
        <v>1.1000000000000001</v>
      </c>
      <c r="G18" s="48">
        <v>5</v>
      </c>
      <c r="H18" s="49">
        <v>1</v>
      </c>
      <c r="I18" s="46" t="s">
        <v>42</v>
      </c>
      <c r="J18" s="44">
        <v>2</v>
      </c>
      <c r="K18" s="48">
        <v>5</v>
      </c>
      <c r="L18" s="48">
        <v>5</v>
      </c>
      <c r="M18" s="46" t="s">
        <v>108</v>
      </c>
      <c r="N18" s="46" t="s">
        <v>121</v>
      </c>
      <c r="O18" s="46"/>
      <c r="P18" s="50"/>
      <c r="Q18" s="50"/>
      <c r="R18" s="46" t="s">
        <v>118</v>
      </c>
      <c r="S18" s="48">
        <v>300</v>
      </c>
      <c r="T18" s="47">
        <v>10</v>
      </c>
      <c r="U18" s="50"/>
      <c r="V18" s="47"/>
      <c r="W18" s="50"/>
      <c r="X18" s="50"/>
      <c r="Y18" s="50"/>
      <c r="Z18" s="50"/>
      <c r="AA18" s="50"/>
      <c r="AB18" s="46"/>
      <c r="AC18" s="50"/>
      <c r="AD18" s="50"/>
      <c r="AE18" s="121"/>
      <c r="AF18" s="50"/>
      <c r="AG18" s="50"/>
      <c r="AH18" s="48">
        <v>10</v>
      </c>
      <c r="AN18" s="7">
        <f t="shared" si="0"/>
        <v>110</v>
      </c>
      <c r="AO18" s="7">
        <v>14</v>
      </c>
    </row>
    <row r="19" spans="1:41" x14ac:dyDescent="0.25">
      <c r="A19" s="33" t="s">
        <v>166</v>
      </c>
      <c r="B19" s="38" t="s">
        <v>166</v>
      </c>
      <c r="C19" s="38" t="s">
        <v>79</v>
      </c>
      <c r="D19" s="34" t="s">
        <v>164</v>
      </c>
      <c r="E19" s="33"/>
      <c r="F19" s="36">
        <v>1</v>
      </c>
      <c r="G19" s="35">
        <v>1</v>
      </c>
      <c r="H19" s="37">
        <v>1</v>
      </c>
      <c r="I19" s="34" t="s">
        <v>269</v>
      </c>
      <c r="J19" s="33">
        <v>1</v>
      </c>
      <c r="K19" s="35">
        <v>25</v>
      </c>
      <c r="L19" s="35">
        <v>25</v>
      </c>
      <c r="M19" s="34" t="s">
        <v>303</v>
      </c>
      <c r="N19" s="34" t="s">
        <v>121</v>
      </c>
      <c r="O19" s="34"/>
      <c r="P19" s="41"/>
      <c r="Q19" s="41"/>
      <c r="R19" s="34" t="s">
        <v>119</v>
      </c>
      <c r="S19" s="67">
        <v>1.4</v>
      </c>
      <c r="T19" s="36"/>
      <c r="U19" s="41"/>
      <c r="V19" s="41">
        <v>2.5</v>
      </c>
      <c r="W19" s="41">
        <v>0.4</v>
      </c>
      <c r="X19" s="41"/>
      <c r="Y19" s="41"/>
      <c r="Z19" s="41"/>
      <c r="AA19" s="41"/>
      <c r="AB19" s="34" t="s">
        <v>196</v>
      </c>
      <c r="AC19" s="41" t="s">
        <v>307</v>
      </c>
      <c r="AD19" s="41"/>
      <c r="AE19" s="123"/>
      <c r="AF19" s="41"/>
      <c r="AG19" s="41"/>
      <c r="AH19" s="35">
        <v>10</v>
      </c>
      <c r="AN19" s="7">
        <f t="shared" si="0"/>
        <v>100</v>
      </c>
      <c r="AO19" s="7" t="e">
        <v>#DIV/0!</v>
      </c>
    </row>
    <row r="20" spans="1:41" x14ac:dyDescent="0.25">
      <c r="A20" s="33" t="s">
        <v>164</v>
      </c>
      <c r="B20" s="38" t="s">
        <v>164</v>
      </c>
      <c r="C20" s="38" t="s">
        <v>79</v>
      </c>
      <c r="D20" s="34" t="s">
        <v>163</v>
      </c>
      <c r="E20" s="33"/>
      <c r="F20" s="36">
        <v>1</v>
      </c>
      <c r="G20" s="35">
        <v>1</v>
      </c>
      <c r="H20" s="37">
        <v>1</v>
      </c>
      <c r="I20" s="34" t="s">
        <v>107</v>
      </c>
      <c r="J20" s="33">
        <v>1</v>
      </c>
      <c r="K20" s="35">
        <v>25</v>
      </c>
      <c r="L20" s="35">
        <v>25</v>
      </c>
      <c r="M20" s="34" t="s">
        <v>303</v>
      </c>
      <c r="N20" s="34" t="s">
        <v>121</v>
      </c>
      <c r="O20" s="34"/>
      <c r="P20" s="41"/>
      <c r="Q20" s="41"/>
      <c r="R20" s="34" t="s">
        <v>119</v>
      </c>
      <c r="S20" s="67">
        <v>0.55000000000000004</v>
      </c>
      <c r="T20" s="36"/>
      <c r="U20" s="41"/>
      <c r="V20" s="41">
        <v>1.3</v>
      </c>
      <c r="W20" s="41"/>
      <c r="X20" s="41"/>
      <c r="Y20" s="41"/>
      <c r="Z20" s="41"/>
      <c r="AA20" s="41"/>
      <c r="AB20" s="34" t="s">
        <v>193</v>
      </c>
      <c r="AC20" s="41" t="s">
        <v>307</v>
      </c>
      <c r="AD20" s="41"/>
      <c r="AE20" s="123"/>
      <c r="AF20" s="41"/>
      <c r="AG20" s="41"/>
      <c r="AH20" s="35">
        <v>10</v>
      </c>
      <c r="AN20" s="7">
        <f t="shared" si="0"/>
        <v>100</v>
      </c>
      <c r="AO20" s="7" t="e">
        <v>#DIV/0!</v>
      </c>
    </row>
    <row r="21" spans="1:41" x14ac:dyDescent="0.25">
      <c r="A21" s="33" t="s">
        <v>163</v>
      </c>
      <c r="B21" s="38" t="s">
        <v>163</v>
      </c>
      <c r="C21" s="38" t="s">
        <v>79</v>
      </c>
      <c r="D21" s="34" t="s">
        <v>162</v>
      </c>
      <c r="E21" s="33"/>
      <c r="F21" s="36">
        <v>1</v>
      </c>
      <c r="G21" s="35">
        <v>1</v>
      </c>
      <c r="H21" s="37">
        <v>1</v>
      </c>
      <c r="I21" s="34" t="s">
        <v>107</v>
      </c>
      <c r="J21" s="33">
        <v>1</v>
      </c>
      <c r="K21" s="35">
        <v>25</v>
      </c>
      <c r="L21" s="35">
        <v>25</v>
      </c>
      <c r="M21" s="34" t="s">
        <v>303</v>
      </c>
      <c r="N21" s="34" t="s">
        <v>121</v>
      </c>
      <c r="O21" s="34"/>
      <c r="P21" s="41"/>
      <c r="Q21" s="41"/>
      <c r="R21" s="34" t="s">
        <v>119</v>
      </c>
      <c r="S21" s="67">
        <v>0.4</v>
      </c>
      <c r="T21" s="36"/>
      <c r="U21" s="41"/>
      <c r="V21" s="41">
        <v>1.6</v>
      </c>
      <c r="W21" s="41"/>
      <c r="X21" s="41"/>
      <c r="Y21" s="41"/>
      <c r="Z21" s="41"/>
      <c r="AA21" s="41"/>
      <c r="AB21" s="34" t="s">
        <v>193</v>
      </c>
      <c r="AC21" s="41" t="s">
        <v>307</v>
      </c>
      <c r="AD21" s="41"/>
      <c r="AE21" s="123"/>
      <c r="AF21" s="41"/>
      <c r="AG21" s="41"/>
      <c r="AH21" s="35">
        <v>10</v>
      </c>
      <c r="AN21" s="7">
        <f t="shared" si="0"/>
        <v>100</v>
      </c>
      <c r="AO21" s="7" t="e">
        <v>#DIV/0!</v>
      </c>
    </row>
    <row r="22" spans="1:41" x14ac:dyDescent="0.25">
      <c r="A22" s="33" t="s">
        <v>162</v>
      </c>
      <c r="B22" s="38" t="s">
        <v>162</v>
      </c>
      <c r="C22" s="38" t="s">
        <v>79</v>
      </c>
      <c r="D22" s="34"/>
      <c r="E22" s="33"/>
      <c r="F22" s="36">
        <v>1</v>
      </c>
      <c r="G22" s="35">
        <v>1</v>
      </c>
      <c r="H22" s="37">
        <v>1</v>
      </c>
      <c r="I22" s="34" t="s">
        <v>107</v>
      </c>
      <c r="J22" s="33">
        <v>1</v>
      </c>
      <c r="K22" s="35">
        <v>25</v>
      </c>
      <c r="L22" s="35">
        <v>25</v>
      </c>
      <c r="M22" s="34" t="s">
        <v>303</v>
      </c>
      <c r="N22" s="34" t="s">
        <v>121</v>
      </c>
      <c r="O22" s="34"/>
      <c r="P22" s="41"/>
      <c r="Q22" s="41"/>
      <c r="R22" s="34" t="s">
        <v>119</v>
      </c>
      <c r="S22" s="67">
        <v>0.2</v>
      </c>
      <c r="T22" s="36"/>
      <c r="U22" s="41"/>
      <c r="V22" s="41">
        <v>2</v>
      </c>
      <c r="W22" s="41"/>
      <c r="X22" s="41"/>
      <c r="Y22" s="41"/>
      <c r="Z22" s="41"/>
      <c r="AA22" s="41"/>
      <c r="AB22" s="34" t="s">
        <v>193</v>
      </c>
      <c r="AC22" s="41" t="s">
        <v>307</v>
      </c>
      <c r="AD22" s="41"/>
      <c r="AE22" s="123"/>
      <c r="AF22" s="41"/>
      <c r="AG22" s="41"/>
      <c r="AH22" s="35">
        <v>10</v>
      </c>
      <c r="AN22" s="7">
        <f t="shared" si="0"/>
        <v>100</v>
      </c>
      <c r="AO22" s="7" t="e">
        <v>#DIV/0!</v>
      </c>
    </row>
    <row r="23" spans="1:41" x14ac:dyDescent="0.25">
      <c r="A23" s="84" t="s">
        <v>9</v>
      </c>
      <c r="B23" s="83" t="s">
        <v>9</v>
      </c>
      <c r="C23" s="83" t="s">
        <v>80</v>
      </c>
      <c r="D23" s="85" t="s">
        <v>186</v>
      </c>
      <c r="E23" s="86">
        <f>1*AL8</f>
        <v>2.5</v>
      </c>
      <c r="F23" s="86">
        <v>0.25</v>
      </c>
      <c r="G23" s="87">
        <v>4</v>
      </c>
      <c r="H23" s="88">
        <v>1</v>
      </c>
      <c r="I23" s="85" t="s">
        <v>40</v>
      </c>
      <c r="J23" s="84">
        <v>1</v>
      </c>
      <c r="K23" s="87">
        <v>5</v>
      </c>
      <c r="L23" s="87">
        <v>1</v>
      </c>
      <c r="M23" s="25" t="s">
        <v>108</v>
      </c>
      <c r="N23" s="25" t="s">
        <v>121</v>
      </c>
      <c r="O23" s="25"/>
      <c r="P23" s="42"/>
      <c r="Q23" s="42"/>
      <c r="R23" s="25" t="s">
        <v>118</v>
      </c>
      <c r="S23" s="87">
        <v>10</v>
      </c>
      <c r="T23" s="86">
        <v>10</v>
      </c>
      <c r="U23" s="89"/>
      <c r="V23" s="89"/>
      <c r="W23" s="89"/>
      <c r="X23" s="89"/>
      <c r="Y23" s="89"/>
      <c r="Z23" s="89"/>
      <c r="AA23" s="89"/>
      <c r="AB23" s="85"/>
      <c r="AC23" s="89"/>
      <c r="AD23" s="89"/>
      <c r="AE23" s="124"/>
      <c r="AF23" s="89"/>
      <c r="AG23" s="89"/>
      <c r="AH23" s="87">
        <v>10</v>
      </c>
      <c r="AN23" s="7">
        <f t="shared" si="0"/>
        <v>25</v>
      </c>
      <c r="AO23" s="7">
        <v>9</v>
      </c>
    </row>
    <row r="24" spans="1:41" x14ac:dyDescent="0.25">
      <c r="A24" s="90" t="s">
        <v>122</v>
      </c>
      <c r="B24" s="91" t="s">
        <v>122</v>
      </c>
      <c r="C24" s="92" t="s">
        <v>80</v>
      </c>
      <c r="D24" s="93" t="s">
        <v>123</v>
      </c>
      <c r="E24" s="94">
        <v>3</v>
      </c>
      <c r="F24" s="94">
        <v>2</v>
      </c>
      <c r="G24" s="95">
        <v>4</v>
      </c>
      <c r="H24" s="96">
        <v>1</v>
      </c>
      <c r="I24" s="93" t="s">
        <v>40</v>
      </c>
      <c r="J24" s="97">
        <v>2</v>
      </c>
      <c r="K24" s="95">
        <v>5</v>
      </c>
      <c r="L24" s="95">
        <v>1</v>
      </c>
      <c r="M24" s="93" t="s">
        <v>108</v>
      </c>
      <c r="N24" s="93" t="s">
        <v>218</v>
      </c>
      <c r="O24" s="93" t="s">
        <v>71</v>
      </c>
      <c r="P24" s="98">
        <v>12.5</v>
      </c>
      <c r="Q24" s="98">
        <v>18</v>
      </c>
      <c r="R24" s="93" t="s">
        <v>119</v>
      </c>
      <c r="S24" s="99">
        <v>1.4</v>
      </c>
      <c r="T24" s="94">
        <v>10</v>
      </c>
      <c r="U24" s="98"/>
      <c r="V24" s="98">
        <v>2</v>
      </c>
      <c r="W24" s="98">
        <v>0.4</v>
      </c>
      <c r="X24" s="98"/>
      <c r="Y24" s="98"/>
      <c r="Z24" s="98"/>
      <c r="AA24" s="98"/>
      <c r="AB24" s="93" t="s">
        <v>196</v>
      </c>
      <c r="AC24" s="98"/>
      <c r="AD24" s="98"/>
      <c r="AE24" s="125"/>
      <c r="AF24" s="98"/>
      <c r="AG24" s="98"/>
      <c r="AH24" s="95">
        <v>10</v>
      </c>
      <c r="AN24" s="8">
        <f t="shared" si="0"/>
        <v>200</v>
      </c>
      <c r="AO24" s="8">
        <v>12</v>
      </c>
    </row>
    <row r="25" spans="1:41" x14ac:dyDescent="0.25">
      <c r="A25" s="97" t="s">
        <v>123</v>
      </c>
      <c r="B25" s="92" t="s">
        <v>123</v>
      </c>
      <c r="C25" s="92" t="s">
        <v>80</v>
      </c>
      <c r="D25" s="93" t="s">
        <v>187</v>
      </c>
      <c r="E25" s="94">
        <v>3.5</v>
      </c>
      <c r="F25" s="94">
        <v>2</v>
      </c>
      <c r="G25" s="95">
        <v>5</v>
      </c>
      <c r="H25" s="96">
        <v>1</v>
      </c>
      <c r="I25" s="93" t="s">
        <v>40</v>
      </c>
      <c r="J25" s="97">
        <v>2</v>
      </c>
      <c r="K25" s="95">
        <v>5</v>
      </c>
      <c r="L25" s="95">
        <v>1</v>
      </c>
      <c r="M25" s="93" t="s">
        <v>108</v>
      </c>
      <c r="N25" s="93" t="s">
        <v>218</v>
      </c>
      <c r="O25" s="93" t="s">
        <v>71</v>
      </c>
      <c r="P25" s="98">
        <v>12.5</v>
      </c>
      <c r="Q25" s="98">
        <v>18</v>
      </c>
      <c r="R25" s="93" t="s">
        <v>119</v>
      </c>
      <c r="S25" s="99">
        <v>0.55000000000000004</v>
      </c>
      <c r="T25" s="94">
        <v>10</v>
      </c>
      <c r="U25" s="98"/>
      <c r="V25" s="98">
        <v>1.3</v>
      </c>
      <c r="W25" s="98"/>
      <c r="X25" s="98"/>
      <c r="Y25" s="98"/>
      <c r="Z25" s="98"/>
      <c r="AA25" s="98"/>
      <c r="AB25" s="93" t="s">
        <v>193</v>
      </c>
      <c r="AC25" s="98"/>
      <c r="AD25" s="98"/>
      <c r="AE25" s="125"/>
      <c r="AF25" s="98"/>
      <c r="AG25" s="98"/>
      <c r="AH25" s="95">
        <v>10</v>
      </c>
      <c r="AN25" s="8">
        <f t="shared" si="0"/>
        <v>200</v>
      </c>
      <c r="AO25" s="8">
        <v>14</v>
      </c>
    </row>
    <row r="26" spans="1:41" x14ac:dyDescent="0.25">
      <c r="A26" s="97" t="s">
        <v>124</v>
      </c>
      <c r="B26" s="92" t="s">
        <v>124</v>
      </c>
      <c r="C26" s="92" t="s">
        <v>80</v>
      </c>
      <c r="D26" s="93" t="s">
        <v>188</v>
      </c>
      <c r="E26" s="94">
        <v>4</v>
      </c>
      <c r="F26" s="94">
        <v>2</v>
      </c>
      <c r="G26" s="95">
        <v>6</v>
      </c>
      <c r="H26" s="96">
        <v>1</v>
      </c>
      <c r="I26" s="93" t="s">
        <v>40</v>
      </c>
      <c r="J26" s="97">
        <v>2</v>
      </c>
      <c r="K26" s="95">
        <v>5</v>
      </c>
      <c r="L26" s="95">
        <v>1</v>
      </c>
      <c r="M26" s="93" t="s">
        <v>108</v>
      </c>
      <c r="N26" s="93" t="s">
        <v>121</v>
      </c>
      <c r="O26" s="93"/>
      <c r="P26" s="98"/>
      <c r="Q26" s="98"/>
      <c r="R26" s="93" t="s">
        <v>118</v>
      </c>
      <c r="S26" s="95">
        <v>20</v>
      </c>
      <c r="T26" s="94">
        <v>10</v>
      </c>
      <c r="U26" s="98"/>
      <c r="V26" s="98"/>
      <c r="W26" s="98"/>
      <c r="X26" s="98"/>
      <c r="Y26" s="98"/>
      <c r="Z26" s="98"/>
      <c r="AA26" s="98"/>
      <c r="AB26" s="93"/>
      <c r="AC26" s="98"/>
      <c r="AD26" s="98"/>
      <c r="AE26" s="125"/>
      <c r="AF26" s="98"/>
      <c r="AG26" s="98"/>
      <c r="AH26" s="95">
        <v>10</v>
      </c>
      <c r="AN26" s="8">
        <f t="shared" si="0"/>
        <v>200</v>
      </c>
      <c r="AO26" s="8">
        <v>17</v>
      </c>
    </row>
    <row r="27" spans="1:41" x14ac:dyDescent="0.25">
      <c r="A27" s="97" t="s">
        <v>125</v>
      </c>
      <c r="B27" s="92" t="s">
        <v>125</v>
      </c>
      <c r="C27" s="92" t="s">
        <v>80</v>
      </c>
      <c r="D27" s="93" t="s">
        <v>189</v>
      </c>
      <c r="E27" s="94">
        <v>4.5</v>
      </c>
      <c r="F27" s="94">
        <v>2</v>
      </c>
      <c r="G27" s="95">
        <v>7</v>
      </c>
      <c r="H27" s="96">
        <v>1</v>
      </c>
      <c r="I27" s="93" t="s">
        <v>40</v>
      </c>
      <c r="J27" s="97">
        <v>2</v>
      </c>
      <c r="K27" s="95">
        <v>5</v>
      </c>
      <c r="L27" s="95">
        <v>2</v>
      </c>
      <c r="M27" s="93" t="s">
        <v>108</v>
      </c>
      <c r="N27" s="93" t="s">
        <v>121</v>
      </c>
      <c r="O27" s="93"/>
      <c r="P27" s="98"/>
      <c r="Q27" s="98"/>
      <c r="R27" s="93" t="s">
        <v>118</v>
      </c>
      <c r="S27" s="95">
        <v>30</v>
      </c>
      <c r="T27" s="94">
        <v>10</v>
      </c>
      <c r="U27" s="98"/>
      <c r="V27" s="98"/>
      <c r="W27" s="98"/>
      <c r="X27" s="98"/>
      <c r="Y27" s="98"/>
      <c r="Z27" s="98"/>
      <c r="AA27" s="98"/>
      <c r="AB27" s="93"/>
      <c r="AC27" s="98"/>
      <c r="AD27" s="98"/>
      <c r="AE27" s="125"/>
      <c r="AF27" s="98"/>
      <c r="AG27" s="98"/>
      <c r="AH27" s="95">
        <v>10</v>
      </c>
      <c r="AN27" s="8">
        <f t="shared" si="0"/>
        <v>200</v>
      </c>
      <c r="AO27" s="8">
        <v>19</v>
      </c>
    </row>
    <row r="28" spans="1:41" x14ac:dyDescent="0.25">
      <c r="A28" s="97" t="s">
        <v>185</v>
      </c>
      <c r="B28" s="92" t="s">
        <v>185</v>
      </c>
      <c r="C28" s="92" t="s">
        <v>80</v>
      </c>
      <c r="D28" s="93" t="s">
        <v>190</v>
      </c>
      <c r="E28" s="94">
        <v>4.5</v>
      </c>
      <c r="F28" s="94">
        <v>2</v>
      </c>
      <c r="G28" s="95">
        <v>7</v>
      </c>
      <c r="H28" s="96">
        <v>1</v>
      </c>
      <c r="I28" s="93" t="s">
        <v>40</v>
      </c>
      <c r="J28" s="97">
        <v>2</v>
      </c>
      <c r="K28" s="95">
        <v>5</v>
      </c>
      <c r="L28" s="95">
        <v>2</v>
      </c>
      <c r="M28" s="93" t="s">
        <v>108</v>
      </c>
      <c r="N28" s="93" t="s">
        <v>121</v>
      </c>
      <c r="O28" s="93"/>
      <c r="P28" s="98"/>
      <c r="Q28" s="98"/>
      <c r="R28" s="93" t="s">
        <v>118</v>
      </c>
      <c r="S28" s="95">
        <v>30</v>
      </c>
      <c r="T28" s="94">
        <v>10</v>
      </c>
      <c r="U28" s="98"/>
      <c r="V28" s="98"/>
      <c r="W28" s="98"/>
      <c r="X28" s="98"/>
      <c r="Y28" s="98"/>
      <c r="Z28" s="98"/>
      <c r="AA28" s="98"/>
      <c r="AB28" s="93"/>
      <c r="AC28" s="98"/>
      <c r="AD28" s="98"/>
      <c r="AE28" s="125"/>
      <c r="AF28" s="98"/>
      <c r="AG28" s="98"/>
      <c r="AH28" s="95">
        <v>10</v>
      </c>
      <c r="AN28" s="8"/>
      <c r="AO28" s="8"/>
    </row>
    <row r="29" spans="1:41" x14ac:dyDescent="0.25">
      <c r="A29" s="113" t="s">
        <v>179</v>
      </c>
      <c r="B29" s="114" t="s">
        <v>179</v>
      </c>
      <c r="C29" s="114" t="s">
        <v>80</v>
      </c>
      <c r="D29" s="110" t="s">
        <v>126</v>
      </c>
      <c r="E29" s="115">
        <v>4</v>
      </c>
      <c r="F29" s="115">
        <v>0.25</v>
      </c>
      <c r="G29" s="116">
        <v>3</v>
      </c>
      <c r="H29" s="117">
        <v>1</v>
      </c>
      <c r="I29" s="110" t="s">
        <v>271</v>
      </c>
      <c r="J29" s="113">
        <v>1</v>
      </c>
      <c r="K29" s="116">
        <v>5</v>
      </c>
      <c r="L29" s="116">
        <v>1</v>
      </c>
      <c r="M29" s="110" t="s">
        <v>270</v>
      </c>
      <c r="N29" s="110" t="s">
        <v>121</v>
      </c>
      <c r="O29" s="110"/>
      <c r="P29" s="118"/>
      <c r="Q29" s="118"/>
      <c r="R29" s="110" t="s">
        <v>119</v>
      </c>
      <c r="S29" s="119">
        <v>1.4</v>
      </c>
      <c r="T29" s="115">
        <v>10</v>
      </c>
      <c r="U29" s="118"/>
      <c r="V29" s="118">
        <v>2</v>
      </c>
      <c r="W29" s="118">
        <v>0.4</v>
      </c>
      <c r="X29" s="118"/>
      <c r="Y29" s="118"/>
      <c r="Z29" s="118"/>
      <c r="AA29" s="118"/>
      <c r="AB29" s="110" t="s">
        <v>196</v>
      </c>
      <c r="AC29" s="89"/>
      <c r="AD29" s="89"/>
      <c r="AE29" s="124" t="s">
        <v>291</v>
      </c>
      <c r="AF29" s="89"/>
      <c r="AG29" s="89"/>
      <c r="AH29" s="26">
        <v>10</v>
      </c>
      <c r="AN29" s="8"/>
      <c r="AO29" s="8"/>
    </row>
    <row r="30" spans="1:41" x14ac:dyDescent="0.25">
      <c r="A30" s="113" t="s">
        <v>126</v>
      </c>
      <c r="B30" s="114" t="s">
        <v>126</v>
      </c>
      <c r="C30" s="114" t="s">
        <v>80</v>
      </c>
      <c r="D30" s="110" t="s">
        <v>173</v>
      </c>
      <c r="E30" s="115">
        <v>4</v>
      </c>
      <c r="F30" s="115">
        <v>0.25</v>
      </c>
      <c r="G30" s="116">
        <v>3</v>
      </c>
      <c r="H30" s="117">
        <v>1</v>
      </c>
      <c r="I30" s="110" t="s">
        <v>271</v>
      </c>
      <c r="J30" s="113">
        <v>1</v>
      </c>
      <c r="K30" s="116">
        <v>5</v>
      </c>
      <c r="L30" s="116">
        <v>1</v>
      </c>
      <c r="M30" s="110" t="s">
        <v>270</v>
      </c>
      <c r="N30" s="110" t="s">
        <v>121</v>
      </c>
      <c r="O30" s="110"/>
      <c r="P30" s="118"/>
      <c r="Q30" s="118"/>
      <c r="R30" s="110" t="s">
        <v>119</v>
      </c>
      <c r="S30" s="119">
        <v>4</v>
      </c>
      <c r="T30" s="115">
        <v>10</v>
      </c>
      <c r="U30" s="118"/>
      <c r="V30" s="118">
        <v>2</v>
      </c>
      <c r="W30" s="118">
        <v>0.4</v>
      </c>
      <c r="X30" s="118"/>
      <c r="Y30" s="118"/>
      <c r="Z30" s="118"/>
      <c r="AA30" s="118"/>
      <c r="AB30" s="110" t="s">
        <v>196</v>
      </c>
      <c r="AC30" s="89"/>
      <c r="AD30" s="89"/>
      <c r="AE30" s="124" t="s">
        <v>291</v>
      </c>
      <c r="AF30" s="89"/>
      <c r="AG30" s="89"/>
      <c r="AH30" s="26">
        <v>10</v>
      </c>
      <c r="AN30" s="8">
        <f t="shared" si="0"/>
        <v>25</v>
      </c>
      <c r="AO30" s="8">
        <v>9</v>
      </c>
    </row>
    <row r="31" spans="1:41" x14ac:dyDescent="0.25">
      <c r="A31" s="113" t="s">
        <v>127</v>
      </c>
      <c r="B31" s="114" t="s">
        <v>127</v>
      </c>
      <c r="C31" s="114" t="s">
        <v>80</v>
      </c>
      <c r="D31" s="110" t="s">
        <v>174</v>
      </c>
      <c r="E31" s="115">
        <v>6</v>
      </c>
      <c r="F31" s="115">
        <v>0.18</v>
      </c>
      <c r="G31" s="116">
        <v>3.5</v>
      </c>
      <c r="H31" s="117">
        <v>1</v>
      </c>
      <c r="I31" s="110" t="s">
        <v>271</v>
      </c>
      <c r="J31" s="113">
        <v>1</v>
      </c>
      <c r="K31" s="116">
        <v>5</v>
      </c>
      <c r="L31" s="116">
        <v>1</v>
      </c>
      <c r="M31" s="110" t="s">
        <v>270</v>
      </c>
      <c r="N31" s="110" t="s">
        <v>121</v>
      </c>
      <c r="O31" s="110"/>
      <c r="P31" s="118"/>
      <c r="Q31" s="118"/>
      <c r="R31" s="110" t="s">
        <v>118</v>
      </c>
      <c r="S31" s="119">
        <v>0.2</v>
      </c>
      <c r="T31" s="115">
        <v>10</v>
      </c>
      <c r="U31" s="118"/>
      <c r="V31" s="118">
        <v>2</v>
      </c>
      <c r="W31" s="118"/>
      <c r="X31" s="118"/>
      <c r="Y31" s="118"/>
      <c r="Z31" s="118"/>
      <c r="AA31" s="118"/>
      <c r="AB31" s="110"/>
      <c r="AC31" s="89"/>
      <c r="AD31" s="89"/>
      <c r="AE31" s="124" t="s">
        <v>293</v>
      </c>
      <c r="AF31" s="89"/>
      <c r="AG31" s="89"/>
      <c r="AH31" s="26">
        <v>10</v>
      </c>
      <c r="AN31" s="8">
        <f t="shared" si="0"/>
        <v>18</v>
      </c>
      <c r="AO31" s="8">
        <v>10</v>
      </c>
    </row>
    <row r="32" spans="1:41" x14ac:dyDescent="0.25">
      <c r="A32" s="113" t="s">
        <v>128</v>
      </c>
      <c r="B32" s="114" t="s">
        <v>128</v>
      </c>
      <c r="C32" s="114" t="s">
        <v>80</v>
      </c>
      <c r="D32" s="110" t="s">
        <v>181</v>
      </c>
      <c r="E32" s="115">
        <v>8</v>
      </c>
      <c r="F32" s="115">
        <v>0.1</v>
      </c>
      <c r="G32" s="116">
        <v>4</v>
      </c>
      <c r="H32" s="117">
        <v>1</v>
      </c>
      <c r="I32" s="110" t="s">
        <v>271</v>
      </c>
      <c r="J32" s="113">
        <v>1</v>
      </c>
      <c r="K32" s="116">
        <v>5</v>
      </c>
      <c r="L32" s="116">
        <v>1</v>
      </c>
      <c r="M32" s="110" t="s">
        <v>270</v>
      </c>
      <c r="N32" s="110" t="s">
        <v>121</v>
      </c>
      <c r="O32" s="110"/>
      <c r="P32" s="118"/>
      <c r="Q32" s="118"/>
      <c r="R32" s="110" t="s">
        <v>118</v>
      </c>
      <c r="S32" s="119">
        <v>0.4</v>
      </c>
      <c r="T32" s="115">
        <v>10</v>
      </c>
      <c r="U32" s="118"/>
      <c r="V32" s="118">
        <v>1</v>
      </c>
      <c r="W32" s="118"/>
      <c r="X32" s="118"/>
      <c r="Y32" s="118"/>
      <c r="Z32" s="118"/>
      <c r="AA32" s="118"/>
      <c r="AB32" s="110"/>
      <c r="AC32" s="89"/>
      <c r="AD32" s="89"/>
      <c r="AE32" s="124" t="s">
        <v>294</v>
      </c>
      <c r="AF32" s="89"/>
      <c r="AG32" s="89"/>
      <c r="AH32" s="26">
        <v>10</v>
      </c>
      <c r="AN32" s="8"/>
      <c r="AO32" s="8"/>
    </row>
    <row r="33" spans="1:41" x14ac:dyDescent="0.25">
      <c r="A33" s="113" t="s">
        <v>180</v>
      </c>
      <c r="B33" s="114" t="s">
        <v>180</v>
      </c>
      <c r="C33" s="114" t="s">
        <v>80</v>
      </c>
      <c r="D33" s="110" t="s">
        <v>175</v>
      </c>
      <c r="E33" s="115">
        <v>8</v>
      </c>
      <c r="F33" s="115">
        <v>0.1</v>
      </c>
      <c r="G33" s="116">
        <v>4</v>
      </c>
      <c r="H33" s="117">
        <v>1</v>
      </c>
      <c r="I33" s="110" t="s">
        <v>271</v>
      </c>
      <c r="J33" s="113">
        <v>1</v>
      </c>
      <c r="K33" s="116">
        <v>5</v>
      </c>
      <c r="L33" s="116">
        <v>1</v>
      </c>
      <c r="M33" s="110" t="s">
        <v>270</v>
      </c>
      <c r="N33" s="110" t="s">
        <v>121</v>
      </c>
      <c r="O33" s="110"/>
      <c r="P33" s="118"/>
      <c r="Q33" s="118"/>
      <c r="R33" s="110" t="s">
        <v>119</v>
      </c>
      <c r="S33" s="119">
        <v>0.9</v>
      </c>
      <c r="T33" s="115">
        <v>10</v>
      </c>
      <c r="U33" s="118"/>
      <c r="V33" s="118">
        <v>0.75</v>
      </c>
      <c r="W33" s="118"/>
      <c r="X33" s="118"/>
      <c r="Y33" s="118"/>
      <c r="Z33" s="118"/>
      <c r="AA33" s="118"/>
      <c r="AB33" s="110" t="s">
        <v>193</v>
      </c>
      <c r="AC33" s="89"/>
      <c r="AD33" s="89"/>
      <c r="AE33" s="124" t="s">
        <v>292</v>
      </c>
      <c r="AF33" s="89"/>
      <c r="AG33" s="89"/>
      <c r="AH33" s="26">
        <v>10</v>
      </c>
      <c r="AN33" s="8">
        <f t="shared" si="0"/>
        <v>10</v>
      </c>
      <c r="AO33" s="8">
        <v>12</v>
      </c>
    </row>
    <row r="34" spans="1:41" x14ac:dyDescent="0.25">
      <c r="A34" s="100" t="s">
        <v>129</v>
      </c>
      <c r="B34" s="101" t="s">
        <v>129</v>
      </c>
      <c r="C34" s="101" t="s">
        <v>80</v>
      </c>
      <c r="D34" s="102" t="s">
        <v>130</v>
      </c>
      <c r="E34" s="103">
        <v>3</v>
      </c>
      <c r="F34" s="103">
        <v>0.25</v>
      </c>
      <c r="G34" s="104">
        <v>3</v>
      </c>
      <c r="H34" s="105">
        <v>1</v>
      </c>
      <c r="I34" s="102" t="s">
        <v>40</v>
      </c>
      <c r="J34" s="100">
        <v>2</v>
      </c>
      <c r="K34" s="106">
        <v>5</v>
      </c>
      <c r="L34" s="106">
        <v>1</v>
      </c>
      <c r="M34" s="102" t="s">
        <v>108</v>
      </c>
      <c r="N34" s="102" t="s">
        <v>121</v>
      </c>
      <c r="O34" s="102"/>
      <c r="P34" s="107"/>
      <c r="Q34" s="107"/>
      <c r="R34" s="102" t="s">
        <v>118</v>
      </c>
      <c r="S34" s="104">
        <v>15</v>
      </c>
      <c r="T34" s="103">
        <v>10</v>
      </c>
      <c r="U34" s="107"/>
      <c r="V34" s="107"/>
      <c r="W34" s="107"/>
      <c r="X34" s="107"/>
      <c r="Y34" s="107"/>
      <c r="Z34" s="107"/>
      <c r="AA34" s="107"/>
      <c r="AB34" s="102"/>
      <c r="AC34" s="107"/>
      <c r="AD34" s="107"/>
      <c r="AE34" s="126"/>
      <c r="AF34" s="107"/>
      <c r="AG34" s="107"/>
      <c r="AH34" s="104">
        <v>10</v>
      </c>
      <c r="AN34" s="8">
        <f t="shared" si="0"/>
        <v>25</v>
      </c>
      <c r="AO34" s="8">
        <v>9</v>
      </c>
    </row>
    <row r="35" spans="1:41" s="135" customFormat="1" x14ac:dyDescent="0.25">
      <c r="A35" s="100" t="s">
        <v>130</v>
      </c>
      <c r="B35" s="101" t="s">
        <v>130</v>
      </c>
      <c r="C35" s="101" t="s">
        <v>80</v>
      </c>
      <c r="D35" s="102" t="s">
        <v>131</v>
      </c>
      <c r="E35" s="103">
        <v>3.2</v>
      </c>
      <c r="F35" s="103">
        <v>0.25</v>
      </c>
      <c r="G35" s="104">
        <v>1</v>
      </c>
      <c r="H35" s="105">
        <v>1</v>
      </c>
      <c r="I35" s="102" t="s">
        <v>40</v>
      </c>
      <c r="J35" s="100">
        <v>2</v>
      </c>
      <c r="K35" s="106">
        <v>5</v>
      </c>
      <c r="L35" s="106">
        <v>1</v>
      </c>
      <c r="M35" s="102" t="s">
        <v>108</v>
      </c>
      <c r="N35" s="102" t="s">
        <v>121</v>
      </c>
      <c r="O35" s="102"/>
      <c r="P35" s="107"/>
      <c r="Q35" s="107"/>
      <c r="R35" s="102" t="s">
        <v>118</v>
      </c>
      <c r="S35" s="104">
        <v>15</v>
      </c>
      <c r="T35" s="103">
        <v>10</v>
      </c>
      <c r="U35" s="107"/>
      <c r="V35" s="107"/>
      <c r="W35" s="107"/>
      <c r="X35" s="133"/>
      <c r="Y35" s="133"/>
      <c r="Z35" s="133"/>
      <c r="AA35" s="133"/>
      <c r="AB35" s="131"/>
      <c r="AC35" s="133"/>
      <c r="AD35" s="133"/>
      <c r="AE35" s="134"/>
      <c r="AF35" s="133"/>
      <c r="AG35" s="133"/>
      <c r="AH35" s="132">
        <v>10</v>
      </c>
      <c r="AN35" s="136">
        <f t="shared" si="0"/>
        <v>25</v>
      </c>
      <c r="AO35" s="136">
        <v>12</v>
      </c>
    </row>
    <row r="36" spans="1:41" x14ac:dyDescent="0.25">
      <c r="A36" s="100" t="s">
        <v>131</v>
      </c>
      <c r="B36" s="101" t="s">
        <v>131</v>
      </c>
      <c r="C36" s="101" t="s">
        <v>80</v>
      </c>
      <c r="D36" s="102" t="s">
        <v>132</v>
      </c>
      <c r="E36" s="103">
        <v>4.2</v>
      </c>
      <c r="F36" s="103">
        <v>0.2</v>
      </c>
      <c r="G36" s="104">
        <v>4.5</v>
      </c>
      <c r="H36" s="105">
        <v>1</v>
      </c>
      <c r="I36" s="102" t="s">
        <v>40</v>
      </c>
      <c r="J36" s="100">
        <v>2</v>
      </c>
      <c r="K36" s="106">
        <v>5</v>
      </c>
      <c r="L36" s="106">
        <v>1</v>
      </c>
      <c r="M36" s="102" t="s">
        <v>108</v>
      </c>
      <c r="N36" s="102" t="s">
        <v>121</v>
      </c>
      <c r="O36" s="102"/>
      <c r="P36" s="107"/>
      <c r="Q36" s="107"/>
      <c r="R36" s="102" t="s">
        <v>118</v>
      </c>
      <c r="S36" s="104">
        <v>20</v>
      </c>
      <c r="T36" s="103">
        <v>10</v>
      </c>
      <c r="U36" s="107"/>
      <c r="V36" s="107"/>
      <c r="W36" s="107"/>
      <c r="X36" s="107"/>
      <c r="Y36" s="107"/>
      <c r="Z36" s="107"/>
      <c r="AA36" s="107"/>
      <c r="AB36" s="102"/>
      <c r="AC36" s="107"/>
      <c r="AD36" s="107"/>
      <c r="AE36" s="126"/>
      <c r="AF36" s="107"/>
      <c r="AG36" s="107"/>
      <c r="AH36" s="104">
        <v>10</v>
      </c>
      <c r="AN36" s="8">
        <f t="shared" si="0"/>
        <v>20</v>
      </c>
      <c r="AO36" s="8">
        <v>13</v>
      </c>
    </row>
    <row r="37" spans="1:41" x14ac:dyDescent="0.25">
      <c r="A37" s="100" t="s">
        <v>132</v>
      </c>
      <c r="B37" s="101" t="s">
        <v>132</v>
      </c>
      <c r="C37" s="101" t="s">
        <v>80</v>
      </c>
      <c r="D37" s="102" t="s">
        <v>191</v>
      </c>
      <c r="E37" s="103">
        <v>5.2</v>
      </c>
      <c r="F37" s="103">
        <v>0.2</v>
      </c>
      <c r="G37" s="104">
        <v>4.5</v>
      </c>
      <c r="H37" s="105">
        <v>1</v>
      </c>
      <c r="I37" s="102" t="s">
        <v>40</v>
      </c>
      <c r="J37" s="100">
        <v>2</v>
      </c>
      <c r="K37" s="106">
        <v>5</v>
      </c>
      <c r="L37" s="106">
        <v>1</v>
      </c>
      <c r="M37" s="102" t="s">
        <v>108</v>
      </c>
      <c r="N37" s="102" t="s">
        <v>121</v>
      </c>
      <c r="O37" s="102"/>
      <c r="P37" s="107"/>
      <c r="Q37" s="107"/>
      <c r="R37" s="102" t="s">
        <v>118</v>
      </c>
      <c r="S37" s="104">
        <v>20</v>
      </c>
      <c r="T37" s="103">
        <v>10</v>
      </c>
      <c r="U37" s="107"/>
      <c r="V37" s="107"/>
      <c r="W37" s="107"/>
      <c r="X37" s="107"/>
      <c r="Y37" s="107"/>
      <c r="Z37" s="107"/>
      <c r="AA37" s="107"/>
      <c r="AB37" s="102"/>
      <c r="AC37" s="107"/>
      <c r="AD37" s="107"/>
      <c r="AE37" s="126"/>
      <c r="AF37" s="107"/>
      <c r="AG37" s="107"/>
      <c r="AH37" s="104">
        <v>10</v>
      </c>
      <c r="AN37" s="8"/>
      <c r="AO37" s="8"/>
    </row>
    <row r="38" spans="1:41" x14ac:dyDescent="0.25">
      <c r="A38" s="100" t="s">
        <v>191</v>
      </c>
      <c r="B38" s="101" t="s">
        <v>191</v>
      </c>
      <c r="C38" s="101" t="s">
        <v>80</v>
      </c>
      <c r="D38" s="102"/>
      <c r="E38" s="103">
        <v>5.2</v>
      </c>
      <c r="F38" s="103">
        <v>0.2</v>
      </c>
      <c r="G38" s="104">
        <v>4.5</v>
      </c>
      <c r="H38" s="105">
        <v>1</v>
      </c>
      <c r="I38" s="102" t="s">
        <v>40</v>
      </c>
      <c r="J38" s="100">
        <v>2</v>
      </c>
      <c r="K38" s="106">
        <v>5</v>
      </c>
      <c r="L38" s="106">
        <v>1</v>
      </c>
      <c r="M38" s="102" t="s">
        <v>108</v>
      </c>
      <c r="N38" s="102" t="s">
        <v>121</v>
      </c>
      <c r="O38" s="102"/>
      <c r="P38" s="107"/>
      <c r="Q38" s="107"/>
      <c r="R38" s="102" t="s">
        <v>118</v>
      </c>
      <c r="S38" s="104">
        <v>20</v>
      </c>
      <c r="T38" s="103">
        <v>10</v>
      </c>
      <c r="U38" s="107"/>
      <c r="V38" s="107"/>
      <c r="W38" s="107"/>
      <c r="X38" s="107"/>
      <c r="Y38" s="107"/>
      <c r="Z38" s="107"/>
      <c r="AA38" s="107"/>
      <c r="AB38" s="102"/>
      <c r="AC38" s="107"/>
      <c r="AD38" s="107"/>
      <c r="AE38" s="126"/>
      <c r="AF38" s="107"/>
      <c r="AG38" s="107"/>
      <c r="AH38" s="104">
        <v>10</v>
      </c>
      <c r="AN38" s="8">
        <f t="shared" si="0"/>
        <v>20</v>
      </c>
      <c r="AO38" s="8">
        <v>13</v>
      </c>
    </row>
    <row r="39" spans="1:41" x14ac:dyDescent="0.25">
      <c r="A39" s="75" t="s">
        <v>184</v>
      </c>
      <c r="B39" s="76" t="s">
        <v>184</v>
      </c>
      <c r="C39" s="76" t="s">
        <v>80</v>
      </c>
      <c r="D39" s="77" t="s">
        <v>133</v>
      </c>
      <c r="E39" s="78">
        <v>3</v>
      </c>
      <c r="F39" s="78">
        <v>0.8</v>
      </c>
      <c r="G39" s="79">
        <v>5</v>
      </c>
      <c r="H39" s="80">
        <v>1</v>
      </c>
      <c r="I39" s="77" t="s">
        <v>106</v>
      </c>
      <c r="J39" s="75">
        <v>2</v>
      </c>
      <c r="K39" s="79">
        <v>18</v>
      </c>
      <c r="L39" s="79">
        <v>4.7</v>
      </c>
      <c r="M39" s="77" t="s">
        <v>109</v>
      </c>
      <c r="N39" s="77" t="s">
        <v>218</v>
      </c>
      <c r="O39" s="77" t="s">
        <v>70</v>
      </c>
      <c r="P39" s="81">
        <v>25</v>
      </c>
      <c r="Q39" s="81">
        <v>9</v>
      </c>
      <c r="R39" s="77" t="s">
        <v>118</v>
      </c>
      <c r="S39" s="79">
        <v>200</v>
      </c>
      <c r="T39" s="78">
        <v>10</v>
      </c>
      <c r="U39" s="81"/>
      <c r="V39" s="81"/>
      <c r="W39" s="81"/>
      <c r="X39" s="81"/>
      <c r="Y39" s="81"/>
      <c r="Z39" s="81"/>
      <c r="AA39" s="81"/>
      <c r="AB39" s="77"/>
      <c r="AC39" s="81"/>
      <c r="AD39" s="81"/>
      <c r="AE39" s="127"/>
      <c r="AF39" s="81"/>
      <c r="AG39" s="81"/>
      <c r="AH39" s="79">
        <v>10</v>
      </c>
      <c r="AN39" s="8"/>
      <c r="AO39" s="8"/>
    </row>
    <row r="40" spans="1:41" x14ac:dyDescent="0.25">
      <c r="A40" s="75" t="s">
        <v>133</v>
      </c>
      <c r="B40" s="76" t="s">
        <v>133</v>
      </c>
      <c r="C40" s="76" t="s">
        <v>80</v>
      </c>
      <c r="D40" s="77" t="s">
        <v>134</v>
      </c>
      <c r="E40" s="78">
        <v>3</v>
      </c>
      <c r="F40" s="78">
        <v>0.8</v>
      </c>
      <c r="G40" s="79">
        <v>5</v>
      </c>
      <c r="H40" s="80">
        <v>1</v>
      </c>
      <c r="I40" s="77" t="s">
        <v>106</v>
      </c>
      <c r="J40" s="75">
        <v>2</v>
      </c>
      <c r="K40" s="79">
        <v>18</v>
      </c>
      <c r="L40" s="79">
        <v>4.7</v>
      </c>
      <c r="M40" s="77" t="s">
        <v>109</v>
      </c>
      <c r="N40" s="77" t="s">
        <v>218</v>
      </c>
      <c r="O40" s="77" t="s">
        <v>70</v>
      </c>
      <c r="P40" s="81">
        <v>25</v>
      </c>
      <c r="Q40" s="81">
        <v>9</v>
      </c>
      <c r="R40" s="77" t="s">
        <v>118</v>
      </c>
      <c r="S40" s="79">
        <v>200</v>
      </c>
      <c r="T40" s="78">
        <v>10</v>
      </c>
      <c r="U40" s="81"/>
      <c r="V40" s="81"/>
      <c r="W40" s="81"/>
      <c r="X40" s="81"/>
      <c r="Y40" s="81"/>
      <c r="Z40" s="81"/>
      <c r="AA40" s="81"/>
      <c r="AB40" s="77"/>
      <c r="AC40" s="81"/>
      <c r="AD40" s="81"/>
      <c r="AE40" s="127"/>
      <c r="AF40" s="81"/>
      <c r="AG40" s="81"/>
      <c r="AH40" s="79">
        <v>10</v>
      </c>
      <c r="AN40" s="8">
        <f t="shared" si="0"/>
        <v>80</v>
      </c>
      <c r="AO40" s="8">
        <v>14</v>
      </c>
    </row>
    <row r="41" spans="1:41" x14ac:dyDescent="0.25">
      <c r="A41" s="75" t="s">
        <v>134</v>
      </c>
      <c r="B41" s="76" t="s">
        <v>134</v>
      </c>
      <c r="C41" s="76" t="s">
        <v>80</v>
      </c>
      <c r="D41" s="77" t="s">
        <v>135</v>
      </c>
      <c r="E41" s="78">
        <v>3.2</v>
      </c>
      <c r="F41" s="78">
        <v>0.8</v>
      </c>
      <c r="G41" s="79">
        <v>6</v>
      </c>
      <c r="H41" s="80">
        <v>1</v>
      </c>
      <c r="I41" s="77" t="s">
        <v>106</v>
      </c>
      <c r="J41" s="75">
        <v>2</v>
      </c>
      <c r="K41" s="79">
        <v>18</v>
      </c>
      <c r="L41" s="79">
        <v>4.7</v>
      </c>
      <c r="M41" s="77" t="s">
        <v>109</v>
      </c>
      <c r="N41" s="77" t="s">
        <v>218</v>
      </c>
      <c r="O41" s="77" t="s">
        <v>70</v>
      </c>
      <c r="P41" s="81">
        <v>25</v>
      </c>
      <c r="Q41" s="81">
        <v>9</v>
      </c>
      <c r="R41" s="77" t="s">
        <v>118</v>
      </c>
      <c r="S41" s="79">
        <v>300</v>
      </c>
      <c r="T41" s="78">
        <v>10</v>
      </c>
      <c r="U41" s="81"/>
      <c r="V41" s="81"/>
      <c r="W41" s="81"/>
      <c r="X41" s="81"/>
      <c r="Y41" s="81"/>
      <c r="Z41" s="81"/>
      <c r="AA41" s="81"/>
      <c r="AB41" s="77"/>
      <c r="AC41" s="81"/>
      <c r="AD41" s="81"/>
      <c r="AE41" s="127"/>
      <c r="AF41" s="81"/>
      <c r="AG41" s="81"/>
      <c r="AH41" s="79">
        <v>10</v>
      </c>
      <c r="AN41" s="8">
        <f t="shared" si="0"/>
        <v>80</v>
      </c>
      <c r="AO41" s="8">
        <v>17</v>
      </c>
    </row>
    <row r="42" spans="1:41" x14ac:dyDescent="0.25">
      <c r="A42" s="75" t="s">
        <v>135</v>
      </c>
      <c r="B42" s="76" t="s">
        <v>135</v>
      </c>
      <c r="C42" s="76" t="s">
        <v>80</v>
      </c>
      <c r="D42" s="77" t="s">
        <v>192</v>
      </c>
      <c r="E42" s="78">
        <v>3.8</v>
      </c>
      <c r="F42" s="78">
        <v>0.8</v>
      </c>
      <c r="G42" s="79">
        <v>6</v>
      </c>
      <c r="H42" s="80">
        <v>1</v>
      </c>
      <c r="I42" s="77" t="s">
        <v>106</v>
      </c>
      <c r="J42" s="75">
        <v>2</v>
      </c>
      <c r="K42" s="79">
        <v>18</v>
      </c>
      <c r="L42" s="79">
        <v>4.7</v>
      </c>
      <c r="M42" s="77" t="s">
        <v>109</v>
      </c>
      <c r="N42" s="77" t="s">
        <v>218</v>
      </c>
      <c r="O42" s="77" t="s">
        <v>70</v>
      </c>
      <c r="P42" s="81">
        <v>25</v>
      </c>
      <c r="Q42" s="81">
        <v>9</v>
      </c>
      <c r="R42" s="77" t="s">
        <v>118</v>
      </c>
      <c r="S42" s="79">
        <v>400</v>
      </c>
      <c r="T42" s="78">
        <v>10</v>
      </c>
      <c r="U42" s="81"/>
      <c r="V42" s="81"/>
      <c r="W42" s="81"/>
      <c r="X42" s="81"/>
      <c r="Y42" s="81"/>
      <c r="Z42" s="81"/>
      <c r="AA42" s="81"/>
      <c r="AB42" s="77"/>
      <c r="AC42" s="81"/>
      <c r="AD42" s="81"/>
      <c r="AE42" s="127"/>
      <c r="AF42" s="81"/>
      <c r="AG42" s="81"/>
      <c r="AH42" s="79">
        <v>10</v>
      </c>
      <c r="AN42" s="8"/>
      <c r="AO42" s="8"/>
    </row>
    <row r="43" spans="1:41" x14ac:dyDescent="0.25">
      <c r="A43" s="75" t="s">
        <v>192</v>
      </c>
      <c r="B43" s="76" t="s">
        <v>192</v>
      </c>
      <c r="C43" s="76" t="s">
        <v>80</v>
      </c>
      <c r="D43" s="77"/>
      <c r="E43" s="78">
        <v>3.8</v>
      </c>
      <c r="F43" s="78">
        <v>0.8</v>
      </c>
      <c r="G43" s="79">
        <v>6</v>
      </c>
      <c r="H43" s="80">
        <v>1</v>
      </c>
      <c r="I43" s="77" t="s">
        <v>106</v>
      </c>
      <c r="J43" s="75">
        <v>2</v>
      </c>
      <c r="K43" s="79">
        <v>18</v>
      </c>
      <c r="L43" s="79">
        <v>4.7</v>
      </c>
      <c r="M43" s="77" t="s">
        <v>109</v>
      </c>
      <c r="N43" s="77" t="s">
        <v>218</v>
      </c>
      <c r="O43" s="77" t="s">
        <v>70</v>
      </c>
      <c r="P43" s="81">
        <v>25</v>
      </c>
      <c r="Q43" s="81">
        <v>9</v>
      </c>
      <c r="R43" s="77" t="s">
        <v>118</v>
      </c>
      <c r="S43" s="79">
        <v>400</v>
      </c>
      <c r="T43" s="78">
        <v>10</v>
      </c>
      <c r="U43" s="81"/>
      <c r="V43" s="81"/>
      <c r="W43" s="81"/>
      <c r="X43" s="81"/>
      <c r="Y43" s="81"/>
      <c r="Z43" s="81"/>
      <c r="AA43" s="81"/>
      <c r="AB43" s="77"/>
      <c r="AC43" s="81"/>
      <c r="AD43" s="81"/>
      <c r="AE43" s="127"/>
      <c r="AF43" s="81"/>
      <c r="AG43" s="81"/>
      <c r="AH43" s="79">
        <v>10</v>
      </c>
      <c r="AN43" s="8">
        <f t="shared" si="0"/>
        <v>80</v>
      </c>
      <c r="AO43" s="8">
        <v>17</v>
      </c>
    </row>
    <row r="44" spans="1:41" x14ac:dyDescent="0.25">
      <c r="A44" s="142" t="s">
        <v>8</v>
      </c>
      <c r="B44" s="143" t="s">
        <v>8</v>
      </c>
      <c r="C44" s="143" t="s">
        <v>79</v>
      </c>
      <c r="D44" s="144" t="s">
        <v>136</v>
      </c>
      <c r="E44" s="145"/>
      <c r="F44" s="145">
        <v>0.8</v>
      </c>
      <c r="G44" s="139">
        <v>1</v>
      </c>
      <c r="H44" s="146"/>
      <c r="I44" s="137" t="s">
        <v>269</v>
      </c>
      <c r="J44" s="138">
        <v>1</v>
      </c>
      <c r="K44" s="139">
        <v>25</v>
      </c>
      <c r="L44" s="139">
        <v>25</v>
      </c>
      <c r="M44" s="137" t="s">
        <v>303</v>
      </c>
      <c r="N44" s="137" t="s">
        <v>121</v>
      </c>
      <c r="O44" s="137"/>
      <c r="P44" s="140"/>
      <c r="Q44" s="140"/>
      <c r="R44" s="137" t="s">
        <v>119</v>
      </c>
      <c r="S44" s="141">
        <v>1.4</v>
      </c>
      <c r="T44" s="140"/>
      <c r="U44" s="140">
        <v>2</v>
      </c>
      <c r="V44" s="140">
        <v>2.5</v>
      </c>
      <c r="W44" s="140">
        <v>0.4</v>
      </c>
      <c r="X44" s="43"/>
      <c r="Y44" s="43"/>
      <c r="Z44" s="43">
        <v>10</v>
      </c>
      <c r="AA44" s="43"/>
      <c r="AB44" s="28" t="s">
        <v>196</v>
      </c>
      <c r="AC44" s="57" t="s">
        <v>307</v>
      </c>
      <c r="AD44" s="43"/>
      <c r="AE44" s="128"/>
      <c r="AF44" s="43"/>
      <c r="AG44" s="43"/>
      <c r="AH44" s="29">
        <v>10</v>
      </c>
      <c r="AN44" s="8">
        <f t="shared" si="0"/>
        <v>80</v>
      </c>
      <c r="AO44" s="8" t="e">
        <v>#DIV/0!</v>
      </c>
    </row>
    <row r="45" spans="1:41" x14ac:dyDescent="0.25">
      <c r="A45" s="138" t="s">
        <v>136</v>
      </c>
      <c r="B45" s="147" t="s">
        <v>136</v>
      </c>
      <c r="C45" s="143" t="s">
        <v>79</v>
      </c>
      <c r="D45" s="137" t="s">
        <v>137</v>
      </c>
      <c r="E45" s="54"/>
      <c r="F45" s="145">
        <v>0.4</v>
      </c>
      <c r="G45" s="139">
        <v>1</v>
      </c>
      <c r="H45" s="146"/>
      <c r="I45" s="137" t="s">
        <v>269</v>
      </c>
      <c r="J45" s="138">
        <v>1</v>
      </c>
      <c r="K45" s="139">
        <v>1</v>
      </c>
      <c r="L45" s="139">
        <v>1</v>
      </c>
      <c r="M45" s="137" t="s">
        <v>302</v>
      </c>
      <c r="N45" s="137" t="s">
        <v>121</v>
      </c>
      <c r="O45" s="137"/>
      <c r="P45" s="140"/>
      <c r="Q45" s="140"/>
      <c r="R45" s="137" t="s">
        <v>119</v>
      </c>
      <c r="S45" s="141">
        <v>1.4</v>
      </c>
      <c r="T45" s="140"/>
      <c r="U45" s="140">
        <v>0.2</v>
      </c>
      <c r="V45" s="140">
        <v>1.5</v>
      </c>
      <c r="W45" s="140">
        <v>0.2</v>
      </c>
      <c r="X45" s="43"/>
      <c r="Y45" s="43"/>
      <c r="Z45" s="43">
        <v>10</v>
      </c>
      <c r="AA45" s="43"/>
      <c r="AB45" s="28" t="s">
        <v>196</v>
      </c>
      <c r="AC45" s="57" t="s">
        <v>307</v>
      </c>
      <c r="AD45" s="43"/>
      <c r="AE45" s="128"/>
      <c r="AF45" s="57"/>
      <c r="AG45" s="57"/>
      <c r="AH45" s="55">
        <v>10</v>
      </c>
      <c r="AN45" s="8">
        <f t="shared" si="0"/>
        <v>40</v>
      </c>
      <c r="AO45" s="8" t="e">
        <v>#DIV/0!</v>
      </c>
    </row>
    <row r="46" spans="1:41" x14ac:dyDescent="0.25">
      <c r="A46" s="138" t="s">
        <v>137</v>
      </c>
      <c r="B46" s="147" t="s">
        <v>137</v>
      </c>
      <c r="C46" s="147" t="s">
        <v>300</v>
      </c>
      <c r="D46" s="137" t="s">
        <v>138</v>
      </c>
      <c r="E46" s="54"/>
      <c r="F46" s="145">
        <v>0.2</v>
      </c>
      <c r="G46" s="139">
        <v>2</v>
      </c>
      <c r="H46" s="146"/>
      <c r="I46" s="137" t="s">
        <v>269</v>
      </c>
      <c r="J46" s="138">
        <v>1</v>
      </c>
      <c r="K46" s="139">
        <v>1</v>
      </c>
      <c r="L46" s="139">
        <v>1</v>
      </c>
      <c r="M46" s="137" t="s">
        <v>302</v>
      </c>
      <c r="N46" s="137" t="s">
        <v>121</v>
      </c>
      <c r="O46" s="137"/>
      <c r="P46" s="140"/>
      <c r="Q46" s="140"/>
      <c r="R46" s="137" t="s">
        <v>119</v>
      </c>
      <c r="S46" s="141">
        <v>1.4</v>
      </c>
      <c r="T46" s="140"/>
      <c r="U46" s="140">
        <v>0.2</v>
      </c>
      <c r="V46" s="140">
        <v>1.5</v>
      </c>
      <c r="W46" s="140">
        <v>0.2</v>
      </c>
      <c r="X46" s="43"/>
      <c r="Y46" s="43"/>
      <c r="Z46" s="43">
        <v>10</v>
      </c>
      <c r="AA46" s="43"/>
      <c r="AB46" s="28" t="s">
        <v>196</v>
      </c>
      <c r="AC46" s="57" t="s">
        <v>307</v>
      </c>
      <c r="AD46" s="57"/>
      <c r="AE46" s="129"/>
      <c r="AF46" s="57"/>
      <c r="AG46" s="57"/>
      <c r="AH46" s="55">
        <v>10</v>
      </c>
      <c r="AN46" s="8">
        <f t="shared" si="0"/>
        <v>20</v>
      </c>
      <c r="AO46" s="8" t="e">
        <v>#DIV/0!</v>
      </c>
    </row>
    <row r="47" spans="1:41" x14ac:dyDescent="0.25">
      <c r="A47" s="138" t="s">
        <v>138</v>
      </c>
      <c r="B47" s="147" t="s">
        <v>138</v>
      </c>
      <c r="C47" s="147" t="s">
        <v>300</v>
      </c>
      <c r="D47" s="137" t="s">
        <v>139</v>
      </c>
      <c r="E47" s="54"/>
      <c r="F47" s="145">
        <v>0.1</v>
      </c>
      <c r="G47" s="139">
        <v>2</v>
      </c>
      <c r="H47" s="146"/>
      <c r="I47" s="137"/>
      <c r="J47" s="138">
        <v>1</v>
      </c>
      <c r="K47" s="139">
        <v>1</v>
      </c>
      <c r="L47" s="139">
        <v>1</v>
      </c>
      <c r="M47" s="137" t="s">
        <v>302</v>
      </c>
      <c r="N47" s="137" t="s">
        <v>121</v>
      </c>
      <c r="O47" s="137"/>
      <c r="P47" s="140"/>
      <c r="Q47" s="140"/>
      <c r="R47" s="137" t="s">
        <v>119</v>
      </c>
      <c r="S47" s="141">
        <v>1.4</v>
      </c>
      <c r="T47" s="140"/>
      <c r="U47" s="140">
        <v>0.2</v>
      </c>
      <c r="V47" s="140">
        <v>1.5</v>
      </c>
      <c r="W47" s="140">
        <v>0.2</v>
      </c>
      <c r="X47" s="43"/>
      <c r="Y47" s="43">
        <v>32</v>
      </c>
      <c r="Z47" s="43"/>
      <c r="AA47" s="43"/>
      <c r="AB47" s="28" t="s">
        <v>196</v>
      </c>
      <c r="AC47" s="57" t="s">
        <v>218</v>
      </c>
      <c r="AD47" s="57"/>
      <c r="AE47" s="129" t="s">
        <v>66</v>
      </c>
      <c r="AF47" s="57"/>
      <c r="AG47" s="57"/>
      <c r="AH47" s="55">
        <v>10</v>
      </c>
      <c r="AN47" s="8">
        <f t="shared" si="0"/>
        <v>10</v>
      </c>
      <c r="AO47" s="8" t="e">
        <v>#DIV/0!</v>
      </c>
    </row>
    <row r="48" spans="1:41" x14ac:dyDescent="0.25">
      <c r="A48" s="138" t="s">
        <v>139</v>
      </c>
      <c r="B48" s="147" t="s">
        <v>139</v>
      </c>
      <c r="C48" s="147" t="s">
        <v>300</v>
      </c>
      <c r="D48" s="137" t="s">
        <v>143</v>
      </c>
      <c r="E48" s="54"/>
      <c r="F48" s="145">
        <v>2</v>
      </c>
      <c r="G48" s="139">
        <v>2</v>
      </c>
      <c r="H48" s="146"/>
      <c r="I48" s="137" t="s">
        <v>301</v>
      </c>
      <c r="J48" s="138">
        <v>1</v>
      </c>
      <c r="K48" s="139">
        <v>1</v>
      </c>
      <c r="L48" s="139">
        <v>1</v>
      </c>
      <c r="M48" s="137" t="s">
        <v>302</v>
      </c>
      <c r="N48" s="137" t="s">
        <v>121</v>
      </c>
      <c r="O48" s="137"/>
      <c r="P48" s="140"/>
      <c r="Q48" s="140"/>
      <c r="R48" s="137" t="s">
        <v>119</v>
      </c>
      <c r="S48" s="141">
        <v>1.4</v>
      </c>
      <c r="T48" s="140"/>
      <c r="U48" s="140">
        <v>0.2</v>
      </c>
      <c r="V48" s="140">
        <v>1.5</v>
      </c>
      <c r="W48" s="140">
        <v>0.2</v>
      </c>
      <c r="X48" s="57"/>
      <c r="Y48" s="57"/>
      <c r="Z48" s="57"/>
      <c r="AA48" s="57">
        <v>1</v>
      </c>
      <c r="AB48" s="53" t="s">
        <v>196</v>
      </c>
      <c r="AC48" s="57" t="s">
        <v>316</v>
      </c>
      <c r="AD48" s="57"/>
      <c r="AE48" s="129"/>
      <c r="AF48" s="57"/>
      <c r="AG48" s="57"/>
      <c r="AH48" s="55">
        <v>10</v>
      </c>
      <c r="AN48" s="8">
        <f t="shared" si="0"/>
        <v>200</v>
      </c>
      <c r="AO48" s="8" t="e">
        <v>#DIV/0!</v>
      </c>
    </row>
    <row r="49" spans="1:41" x14ac:dyDescent="0.25">
      <c r="A49" s="27" t="s">
        <v>140</v>
      </c>
      <c r="B49" s="32" t="s">
        <v>140</v>
      </c>
      <c r="C49" s="32" t="s">
        <v>120</v>
      </c>
      <c r="D49" s="28" t="s">
        <v>141</v>
      </c>
      <c r="E49" s="30"/>
      <c r="F49" s="30">
        <v>1</v>
      </c>
      <c r="G49" s="29">
        <v>1</v>
      </c>
      <c r="H49" s="31"/>
      <c r="I49" s="28" t="s">
        <v>107</v>
      </c>
      <c r="J49" s="27">
        <v>1</v>
      </c>
      <c r="K49" s="29">
        <v>25</v>
      </c>
      <c r="L49" s="29">
        <v>25</v>
      </c>
      <c r="M49" s="28" t="s">
        <v>176</v>
      </c>
      <c r="N49" s="28" t="s">
        <v>121</v>
      </c>
      <c r="O49" s="28"/>
      <c r="P49" s="43"/>
      <c r="Q49" s="43"/>
      <c r="R49" s="28" t="s">
        <v>119</v>
      </c>
      <c r="S49" s="43">
        <v>2</v>
      </c>
      <c r="T49" s="43"/>
      <c r="U49" s="43"/>
      <c r="V49" s="43">
        <v>2</v>
      </c>
      <c r="W49" s="43"/>
      <c r="X49" s="43"/>
      <c r="Y49" s="43"/>
      <c r="Z49" s="43"/>
      <c r="AA49" s="43"/>
      <c r="AB49" s="28"/>
      <c r="AC49" s="57" t="s">
        <v>316</v>
      </c>
      <c r="AD49" s="43"/>
      <c r="AE49" s="128"/>
      <c r="AF49" s="43"/>
      <c r="AG49" s="43"/>
      <c r="AH49" s="29">
        <v>10</v>
      </c>
      <c r="AN49" s="8">
        <f t="shared" si="0"/>
        <v>100</v>
      </c>
      <c r="AO49" s="8" t="e">
        <v>#DIV/0!</v>
      </c>
    </row>
    <row r="50" spans="1:41" x14ac:dyDescent="0.25">
      <c r="A50" s="27" t="s">
        <v>141</v>
      </c>
      <c r="B50" s="32" t="s">
        <v>141</v>
      </c>
      <c r="C50" s="32" t="s">
        <v>120</v>
      </c>
      <c r="D50" s="28" t="s">
        <v>142</v>
      </c>
      <c r="E50" s="30"/>
      <c r="F50" s="30">
        <v>1</v>
      </c>
      <c r="G50" s="29">
        <v>1</v>
      </c>
      <c r="H50" s="31"/>
      <c r="I50" s="28" t="s">
        <v>107</v>
      </c>
      <c r="J50" s="27">
        <v>1</v>
      </c>
      <c r="K50" s="29">
        <v>25</v>
      </c>
      <c r="L50" s="29">
        <v>25</v>
      </c>
      <c r="M50" s="28" t="s">
        <v>176</v>
      </c>
      <c r="N50" s="28" t="s">
        <v>121</v>
      </c>
      <c r="O50" s="28"/>
      <c r="P50" s="43"/>
      <c r="Q50" s="43"/>
      <c r="R50" s="28" t="s">
        <v>119</v>
      </c>
      <c r="S50" s="43">
        <v>2</v>
      </c>
      <c r="T50" s="43"/>
      <c r="U50" s="43"/>
      <c r="V50" s="43">
        <v>2</v>
      </c>
      <c r="W50" s="43"/>
      <c r="X50" s="43"/>
      <c r="Y50" s="43"/>
      <c r="Z50" s="43"/>
      <c r="AA50" s="43"/>
      <c r="AB50" s="28"/>
      <c r="AC50" s="43"/>
      <c r="AD50" s="43"/>
      <c r="AE50" s="128"/>
      <c r="AF50" s="43"/>
      <c r="AG50" s="43"/>
      <c r="AH50" s="29">
        <v>10</v>
      </c>
      <c r="AN50" s="8">
        <f t="shared" si="0"/>
        <v>100</v>
      </c>
      <c r="AO50" s="8" t="e">
        <v>#DIV/0!</v>
      </c>
    </row>
    <row r="51" spans="1:41" x14ac:dyDescent="0.25">
      <c r="A51" s="27" t="s">
        <v>142</v>
      </c>
      <c r="B51" s="32" t="s">
        <v>142</v>
      </c>
      <c r="C51" s="32" t="s">
        <v>120</v>
      </c>
      <c r="D51" s="28" t="s">
        <v>143</v>
      </c>
      <c r="E51" s="30"/>
      <c r="F51" s="30">
        <v>1</v>
      </c>
      <c r="G51" s="29">
        <v>1</v>
      </c>
      <c r="H51" s="31"/>
      <c r="I51" s="28" t="s">
        <v>107</v>
      </c>
      <c r="J51" s="27">
        <v>1</v>
      </c>
      <c r="K51" s="29">
        <v>25</v>
      </c>
      <c r="L51" s="29">
        <v>25</v>
      </c>
      <c r="M51" s="28" t="s">
        <v>176</v>
      </c>
      <c r="N51" s="28" t="s">
        <v>121</v>
      </c>
      <c r="O51" s="28"/>
      <c r="P51" s="43"/>
      <c r="Q51" s="43"/>
      <c r="R51" s="28" t="s">
        <v>119</v>
      </c>
      <c r="S51" s="43">
        <v>2</v>
      </c>
      <c r="T51" s="43"/>
      <c r="U51" s="43"/>
      <c r="V51" s="43">
        <v>2</v>
      </c>
      <c r="W51" s="43"/>
      <c r="X51" s="43"/>
      <c r="Y51" s="43"/>
      <c r="Z51" s="43"/>
      <c r="AA51" s="43"/>
      <c r="AB51" s="28"/>
      <c r="AC51" s="43"/>
      <c r="AD51" s="43"/>
      <c r="AE51" s="128"/>
      <c r="AF51" s="43"/>
      <c r="AG51" s="43"/>
      <c r="AH51" s="29">
        <v>10</v>
      </c>
      <c r="AN51" s="8">
        <f t="shared" si="0"/>
        <v>100</v>
      </c>
      <c r="AO51" s="8" t="e">
        <v>#DIV/0!</v>
      </c>
    </row>
    <row r="52" spans="1:41" x14ac:dyDescent="0.25">
      <c r="A52" s="27" t="s">
        <v>143</v>
      </c>
      <c r="B52" s="32" t="s">
        <v>143</v>
      </c>
      <c r="C52" s="32" t="s">
        <v>120</v>
      </c>
      <c r="D52" s="28"/>
      <c r="E52" s="30"/>
      <c r="F52" s="30">
        <v>1</v>
      </c>
      <c r="G52" s="29">
        <v>1</v>
      </c>
      <c r="H52" s="31"/>
      <c r="I52" s="28" t="s">
        <v>107</v>
      </c>
      <c r="J52" s="27">
        <v>1</v>
      </c>
      <c r="K52" s="29">
        <v>25</v>
      </c>
      <c r="L52" s="29">
        <v>25</v>
      </c>
      <c r="M52" s="28" t="s">
        <v>176</v>
      </c>
      <c r="N52" s="28" t="s">
        <v>121</v>
      </c>
      <c r="O52" s="28"/>
      <c r="P52" s="43"/>
      <c r="Q52" s="43"/>
      <c r="R52" s="28" t="s">
        <v>119</v>
      </c>
      <c r="S52" s="43">
        <v>2</v>
      </c>
      <c r="T52" s="43"/>
      <c r="U52" s="43"/>
      <c r="V52" s="43">
        <v>2</v>
      </c>
      <c r="W52" s="43"/>
      <c r="X52" s="43"/>
      <c r="Y52" s="43"/>
      <c r="Z52" s="43"/>
      <c r="AA52" s="43"/>
      <c r="AB52" s="28"/>
      <c r="AC52" s="43"/>
      <c r="AD52" s="43"/>
      <c r="AE52" s="128"/>
      <c r="AF52" s="43"/>
      <c r="AG52" s="43"/>
      <c r="AH52" s="29">
        <v>10</v>
      </c>
      <c r="AN52" s="8">
        <f t="shared" si="0"/>
        <v>100</v>
      </c>
      <c r="AO52" s="8" t="e">
        <v>#DIV/0!</v>
      </c>
    </row>
    <row r="53" spans="1:41" x14ac:dyDescent="0.25">
      <c r="A53" s="51" t="s">
        <v>144</v>
      </c>
      <c r="B53" s="52" t="s">
        <v>144</v>
      </c>
      <c r="C53" s="52" t="s">
        <v>120</v>
      </c>
      <c r="D53" s="53" t="s">
        <v>145</v>
      </c>
      <c r="E53" s="54"/>
      <c r="F53" s="54">
        <v>1</v>
      </c>
      <c r="G53" s="55">
        <v>3</v>
      </c>
      <c r="H53" s="56"/>
      <c r="I53" s="53" t="s">
        <v>107</v>
      </c>
      <c r="J53" s="51">
        <v>1</v>
      </c>
      <c r="K53" s="29">
        <v>25</v>
      </c>
      <c r="L53" s="29">
        <v>25</v>
      </c>
      <c r="M53" s="53" t="s">
        <v>176</v>
      </c>
      <c r="N53" s="53" t="s">
        <v>121</v>
      </c>
      <c r="O53" s="53"/>
      <c r="P53" s="57"/>
      <c r="Q53" s="57"/>
      <c r="R53" s="53" t="s">
        <v>119</v>
      </c>
      <c r="S53" s="57">
        <v>2</v>
      </c>
      <c r="T53" s="57"/>
      <c r="U53" s="57"/>
      <c r="V53" s="57">
        <v>2</v>
      </c>
      <c r="W53" s="57"/>
      <c r="X53" s="57"/>
      <c r="Y53" s="57"/>
      <c r="Z53" s="57"/>
      <c r="AA53" s="57"/>
      <c r="AB53" s="53"/>
      <c r="AC53" s="57"/>
      <c r="AD53" s="57"/>
      <c r="AE53" s="129"/>
      <c r="AF53" s="57"/>
      <c r="AG53" s="57"/>
      <c r="AH53" s="55">
        <v>10</v>
      </c>
      <c r="AN53" s="8">
        <f t="shared" si="0"/>
        <v>100</v>
      </c>
      <c r="AO53" s="8" t="e">
        <v>#DIV/0!</v>
      </c>
    </row>
    <row r="54" spans="1:41" x14ac:dyDescent="0.25">
      <c r="A54" s="51" t="s">
        <v>145</v>
      </c>
      <c r="B54" s="52" t="s">
        <v>145</v>
      </c>
      <c r="C54" s="52" t="s">
        <v>120</v>
      </c>
      <c r="D54" s="53" t="s">
        <v>178</v>
      </c>
      <c r="E54" s="54"/>
      <c r="F54" s="54">
        <v>1</v>
      </c>
      <c r="G54" s="55">
        <v>6</v>
      </c>
      <c r="H54" s="56"/>
      <c r="I54" s="53" t="s">
        <v>107</v>
      </c>
      <c r="J54" s="51">
        <v>1</v>
      </c>
      <c r="K54" s="29">
        <v>25</v>
      </c>
      <c r="L54" s="29">
        <v>25</v>
      </c>
      <c r="M54" s="53" t="s">
        <v>176</v>
      </c>
      <c r="N54" s="53" t="s">
        <v>121</v>
      </c>
      <c r="O54" s="53"/>
      <c r="P54" s="57"/>
      <c r="Q54" s="57"/>
      <c r="R54" s="53" t="s">
        <v>119</v>
      </c>
      <c r="S54" s="57">
        <v>2</v>
      </c>
      <c r="T54" s="57"/>
      <c r="U54" s="57"/>
      <c r="V54" s="57">
        <v>2</v>
      </c>
      <c r="W54" s="57"/>
      <c r="X54" s="57"/>
      <c r="Y54" s="57"/>
      <c r="Z54" s="57"/>
      <c r="AA54" s="57"/>
      <c r="AB54" s="53"/>
      <c r="AC54" s="57"/>
      <c r="AD54" s="57"/>
      <c r="AE54" s="129"/>
      <c r="AF54" s="57"/>
      <c r="AG54" s="57"/>
      <c r="AH54" s="55">
        <v>10</v>
      </c>
      <c r="AN54" s="9">
        <f t="shared" si="0"/>
        <v>100</v>
      </c>
      <c r="AO54" s="9" t="e">
        <v>#DIV/0!</v>
      </c>
    </row>
    <row r="55" spans="1:41" x14ac:dyDescent="0.25">
      <c r="A55" s="51" t="s">
        <v>178</v>
      </c>
      <c r="B55" s="52" t="s">
        <v>178</v>
      </c>
      <c r="C55" s="52" t="s">
        <v>120</v>
      </c>
      <c r="D55" s="53"/>
      <c r="E55" s="54"/>
      <c r="F55" s="54">
        <v>1</v>
      </c>
      <c r="G55" s="55">
        <v>9</v>
      </c>
      <c r="H55" s="56"/>
      <c r="I55" s="53" t="s">
        <v>107</v>
      </c>
      <c r="J55" s="51">
        <v>1</v>
      </c>
      <c r="K55" s="29">
        <v>25</v>
      </c>
      <c r="L55" s="29">
        <v>25</v>
      </c>
      <c r="M55" s="53" t="s">
        <v>176</v>
      </c>
      <c r="N55" s="53" t="s">
        <v>121</v>
      </c>
      <c r="O55" s="53"/>
      <c r="P55" s="57"/>
      <c r="Q55" s="57"/>
      <c r="R55" s="53" t="s">
        <v>119</v>
      </c>
      <c r="S55" s="57">
        <v>2</v>
      </c>
      <c r="T55" s="57"/>
      <c r="U55" s="57"/>
      <c r="V55" s="57">
        <v>2</v>
      </c>
      <c r="W55" s="57"/>
      <c r="X55" s="57"/>
      <c r="Y55" s="57"/>
      <c r="Z55" s="57"/>
      <c r="AA55" s="57"/>
      <c r="AB55" s="53"/>
      <c r="AC55" s="57"/>
      <c r="AD55" s="57"/>
      <c r="AE55" s="129"/>
      <c r="AF55" s="57"/>
      <c r="AG55" s="57"/>
      <c r="AH55" s="55">
        <v>10</v>
      </c>
      <c r="AN55" s="9">
        <f t="shared" si="0"/>
        <v>100</v>
      </c>
      <c r="AO55" s="9" t="e">
        <v>#DIV/0!</v>
      </c>
    </row>
    <row r="56" spans="1:41" x14ac:dyDescent="0.25">
      <c r="A56" s="13" t="s">
        <v>146</v>
      </c>
      <c r="B56" s="18" t="s">
        <v>146</v>
      </c>
      <c r="C56" s="18" t="s">
        <v>62</v>
      </c>
      <c r="D56" s="14" t="s">
        <v>147</v>
      </c>
      <c r="E56" s="16"/>
      <c r="F56" s="16">
        <v>0.25</v>
      </c>
      <c r="G56" s="15">
        <v>5</v>
      </c>
      <c r="H56" s="17">
        <v>3</v>
      </c>
      <c r="I56" s="14" t="s">
        <v>39</v>
      </c>
      <c r="J56" s="13">
        <v>2</v>
      </c>
      <c r="K56" s="15">
        <v>5</v>
      </c>
      <c r="L56" s="15">
        <v>5</v>
      </c>
      <c r="M56" s="14" t="s">
        <v>108</v>
      </c>
      <c r="N56" s="14" t="s">
        <v>121</v>
      </c>
      <c r="O56" s="14"/>
      <c r="P56" s="39"/>
      <c r="Q56" s="39"/>
      <c r="R56" s="14" t="s">
        <v>118</v>
      </c>
      <c r="S56" s="15">
        <v>20</v>
      </c>
      <c r="T56" s="16">
        <v>10</v>
      </c>
      <c r="U56" s="39"/>
      <c r="V56" s="16"/>
      <c r="W56" s="39"/>
      <c r="X56" s="39"/>
      <c r="Y56" s="39"/>
      <c r="Z56" s="39"/>
      <c r="AA56" s="39"/>
      <c r="AB56" s="14"/>
      <c r="AC56" s="39"/>
      <c r="AD56" s="39"/>
      <c r="AE56" s="130"/>
      <c r="AF56" s="39"/>
      <c r="AG56" s="39"/>
      <c r="AH56" s="15">
        <v>10</v>
      </c>
      <c r="AN56" s="9">
        <f t="shared" si="0"/>
        <v>25</v>
      </c>
      <c r="AO56" s="9">
        <v>14</v>
      </c>
    </row>
    <row r="57" spans="1:41" x14ac:dyDescent="0.25">
      <c r="A57" s="13" t="s">
        <v>147</v>
      </c>
      <c r="B57" s="18" t="s">
        <v>147</v>
      </c>
      <c r="C57" s="18" t="s">
        <v>62</v>
      </c>
      <c r="D57" s="14" t="s">
        <v>148</v>
      </c>
      <c r="E57" s="16"/>
      <c r="F57" s="16">
        <v>0.25</v>
      </c>
      <c r="G57" s="15">
        <v>5</v>
      </c>
      <c r="H57" s="17">
        <v>4</v>
      </c>
      <c r="I57" s="14" t="s">
        <v>39</v>
      </c>
      <c r="J57" s="13">
        <v>2</v>
      </c>
      <c r="K57" s="15">
        <v>5</v>
      </c>
      <c r="L57" s="15">
        <v>5</v>
      </c>
      <c r="M57" s="14" t="s">
        <v>108</v>
      </c>
      <c r="N57" s="14" t="s">
        <v>121</v>
      </c>
      <c r="O57" s="14"/>
      <c r="P57" s="39"/>
      <c r="Q57" s="39"/>
      <c r="R57" s="14" t="s">
        <v>118</v>
      </c>
      <c r="S57" s="15">
        <v>30</v>
      </c>
      <c r="T57" s="16">
        <v>10</v>
      </c>
      <c r="U57" s="39"/>
      <c r="V57" s="16"/>
      <c r="W57" s="39"/>
      <c r="X57" s="39"/>
      <c r="Y57" s="39"/>
      <c r="Z57" s="39"/>
      <c r="AA57" s="39"/>
      <c r="AB57" s="14"/>
      <c r="AC57" s="39"/>
      <c r="AD57" s="39"/>
      <c r="AE57" s="130"/>
      <c r="AF57" s="39"/>
      <c r="AG57" s="39"/>
      <c r="AH57" s="15">
        <v>10</v>
      </c>
      <c r="AN57" s="9">
        <f t="shared" si="0"/>
        <v>25</v>
      </c>
      <c r="AO57" s="9">
        <v>14</v>
      </c>
    </row>
    <row r="58" spans="1:41" x14ac:dyDescent="0.25">
      <c r="A58" s="13" t="s">
        <v>148</v>
      </c>
      <c r="B58" s="18" t="s">
        <v>148</v>
      </c>
      <c r="C58" s="18" t="s">
        <v>62</v>
      </c>
      <c r="D58" s="14" t="s">
        <v>149</v>
      </c>
      <c r="E58" s="16"/>
      <c r="F58" s="16">
        <v>0.25</v>
      </c>
      <c r="G58" s="15">
        <v>5</v>
      </c>
      <c r="H58" s="17">
        <v>5</v>
      </c>
      <c r="I58" s="14" t="s">
        <v>39</v>
      </c>
      <c r="J58" s="13">
        <v>2</v>
      </c>
      <c r="K58" s="15">
        <v>5</v>
      </c>
      <c r="L58" s="15">
        <v>5</v>
      </c>
      <c r="M58" s="14" t="s">
        <v>108</v>
      </c>
      <c r="N58" s="14" t="s">
        <v>121</v>
      </c>
      <c r="O58" s="14"/>
      <c r="P58" s="39"/>
      <c r="Q58" s="39"/>
      <c r="R58" s="14" t="s">
        <v>118</v>
      </c>
      <c r="S58" s="15">
        <v>40</v>
      </c>
      <c r="T58" s="16">
        <v>10</v>
      </c>
      <c r="U58" s="39"/>
      <c r="V58" s="16"/>
      <c r="W58" s="39"/>
      <c r="X58" s="39"/>
      <c r="Y58" s="39"/>
      <c r="Z58" s="39"/>
      <c r="AA58" s="39"/>
      <c r="AB58" s="14"/>
      <c r="AC58" s="39"/>
      <c r="AD58" s="39"/>
      <c r="AE58" s="130"/>
      <c r="AF58" s="39"/>
      <c r="AG58" s="39"/>
      <c r="AH58" s="15">
        <v>10</v>
      </c>
      <c r="AN58" s="9">
        <f t="shared" si="0"/>
        <v>25</v>
      </c>
      <c r="AO58" s="9">
        <v>14</v>
      </c>
    </row>
    <row r="59" spans="1:41" x14ac:dyDescent="0.25">
      <c r="A59" s="13" t="s">
        <v>149</v>
      </c>
      <c r="B59" s="18" t="s">
        <v>149</v>
      </c>
      <c r="C59" s="18" t="s">
        <v>62</v>
      </c>
      <c r="D59" s="14" t="s">
        <v>150</v>
      </c>
      <c r="E59" s="16"/>
      <c r="F59" s="16">
        <v>0.25</v>
      </c>
      <c r="G59" s="15">
        <v>5</v>
      </c>
      <c r="H59" s="17">
        <v>6</v>
      </c>
      <c r="I59" s="14" t="s">
        <v>39</v>
      </c>
      <c r="J59" s="13">
        <v>2</v>
      </c>
      <c r="K59" s="15">
        <v>5</v>
      </c>
      <c r="L59" s="15">
        <v>5</v>
      </c>
      <c r="M59" s="14" t="s">
        <v>108</v>
      </c>
      <c r="N59" s="14" t="s">
        <v>121</v>
      </c>
      <c r="O59" s="14"/>
      <c r="P59" s="39"/>
      <c r="Q59" s="39"/>
      <c r="R59" s="14" t="s">
        <v>118</v>
      </c>
      <c r="S59" s="15">
        <v>50</v>
      </c>
      <c r="T59" s="16">
        <v>10</v>
      </c>
      <c r="U59" s="39"/>
      <c r="V59" s="16"/>
      <c r="W59" s="39"/>
      <c r="X59" s="39"/>
      <c r="Y59" s="39"/>
      <c r="Z59" s="39"/>
      <c r="AA59" s="39"/>
      <c r="AB59" s="14"/>
      <c r="AC59" s="39"/>
      <c r="AD59" s="39"/>
      <c r="AE59" s="130"/>
      <c r="AF59" s="39"/>
      <c r="AG59" s="39"/>
      <c r="AH59" s="15">
        <v>10</v>
      </c>
      <c r="AN59" s="9">
        <f t="shared" si="0"/>
        <v>25</v>
      </c>
      <c r="AO59" s="9">
        <v>14</v>
      </c>
    </row>
    <row r="60" spans="1:41" x14ac:dyDescent="0.25">
      <c r="A60" s="13" t="s">
        <v>150</v>
      </c>
      <c r="B60" s="18" t="s">
        <v>150</v>
      </c>
      <c r="C60" s="18" t="s">
        <v>62</v>
      </c>
      <c r="D60" s="14"/>
      <c r="E60" s="16"/>
      <c r="F60" s="16">
        <v>0.5</v>
      </c>
      <c r="G60" s="15">
        <v>5</v>
      </c>
      <c r="H60" s="17">
        <v>8</v>
      </c>
      <c r="I60" s="14" t="s">
        <v>39</v>
      </c>
      <c r="J60" s="13">
        <v>2</v>
      </c>
      <c r="K60" s="15">
        <v>25</v>
      </c>
      <c r="L60" s="15">
        <v>25</v>
      </c>
      <c r="M60" s="14" t="s">
        <v>110</v>
      </c>
      <c r="N60" s="14" t="s">
        <v>121</v>
      </c>
      <c r="O60" s="14"/>
      <c r="P60" s="39"/>
      <c r="Q60" s="39"/>
      <c r="R60" s="14" t="s">
        <v>118</v>
      </c>
      <c r="S60" s="15">
        <v>100</v>
      </c>
      <c r="T60" s="16">
        <v>10</v>
      </c>
      <c r="U60" s="39"/>
      <c r="V60" s="16"/>
      <c r="W60" s="39"/>
      <c r="X60" s="39"/>
      <c r="Y60" s="39"/>
      <c r="Z60" s="39"/>
      <c r="AA60" s="39"/>
      <c r="AB60" s="14"/>
      <c r="AC60" s="39"/>
      <c r="AD60" s="39"/>
      <c r="AE60" s="130"/>
      <c r="AF60" s="39"/>
      <c r="AG60" s="39"/>
      <c r="AH60" s="15">
        <v>10</v>
      </c>
      <c r="AN60" s="9">
        <f t="shared" si="0"/>
        <v>50</v>
      </c>
      <c r="AO60" s="9">
        <v>14</v>
      </c>
    </row>
    <row r="61" spans="1:41" x14ac:dyDescent="0.25">
      <c r="AN61" s="9">
        <f t="shared" si="0"/>
        <v>0</v>
      </c>
      <c r="AO61" s="9" t="e">
        <v>#DIV/0!</v>
      </c>
    </row>
    <row r="62" spans="1:41" x14ac:dyDescent="0.25">
      <c r="A62" s="2" t="s">
        <v>82</v>
      </c>
      <c r="B62" s="2" t="s">
        <v>82</v>
      </c>
      <c r="C62" s="2" t="s">
        <v>82</v>
      </c>
      <c r="D62" s="2" t="s">
        <v>82</v>
      </c>
      <c r="E62" s="2" t="s">
        <v>84</v>
      </c>
      <c r="F62" s="2" t="s">
        <v>84</v>
      </c>
      <c r="G62" s="2" t="s">
        <v>84</v>
      </c>
      <c r="H62" s="2" t="s">
        <v>83</v>
      </c>
      <c r="I62" s="108" t="s">
        <v>82</v>
      </c>
      <c r="J62" s="2" t="s">
        <v>83</v>
      </c>
      <c r="K62" s="2" t="s">
        <v>84</v>
      </c>
      <c r="L62" s="2" t="s">
        <v>84</v>
      </c>
      <c r="M62" s="108" t="s">
        <v>82</v>
      </c>
      <c r="N62" s="108" t="s">
        <v>82</v>
      </c>
      <c r="O62" s="2" t="s">
        <v>82</v>
      </c>
      <c r="P62" s="2" t="s">
        <v>84</v>
      </c>
      <c r="Q62" s="2" t="s">
        <v>84</v>
      </c>
      <c r="R62" s="108" t="s">
        <v>82</v>
      </c>
      <c r="S62" s="2" t="s">
        <v>84</v>
      </c>
      <c r="T62" s="2" t="s">
        <v>84</v>
      </c>
      <c r="U62" s="2" t="s">
        <v>84</v>
      </c>
      <c r="V62" s="2" t="s">
        <v>84</v>
      </c>
      <c r="W62" s="2" t="s">
        <v>84</v>
      </c>
      <c r="X62" s="2" t="s">
        <v>84</v>
      </c>
      <c r="Y62" s="2" t="s">
        <v>84</v>
      </c>
      <c r="Z62" s="2" t="s">
        <v>84</v>
      </c>
      <c r="AA62" s="2" t="s">
        <v>84</v>
      </c>
      <c r="AB62" s="2" t="s">
        <v>82</v>
      </c>
      <c r="AC62" s="2" t="s">
        <v>82</v>
      </c>
      <c r="AD62" s="2" t="s">
        <v>82</v>
      </c>
      <c r="AE62" s="108" t="s">
        <v>82</v>
      </c>
      <c r="AF62" s="2" t="s">
        <v>82</v>
      </c>
      <c r="AG62" s="2" t="s">
        <v>82</v>
      </c>
      <c r="AH62" s="2" t="s">
        <v>84</v>
      </c>
    </row>
    <row r="66" spans="11:11" x14ac:dyDescent="0.25">
      <c r="K66" s="3"/>
    </row>
    <row r="67" spans="11:11" x14ac:dyDescent="0.25">
      <c r="K67" s="3"/>
    </row>
    <row r="68" spans="11:11" x14ac:dyDescent="0.25">
      <c r="K68" s="3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owers">
                <anchor moveWithCells="1" sizeWithCells="1">
                  <from>
                    <xdr:col>3</xdr:col>
                    <xdr:colOff>400050</xdr:colOff>
                    <xdr:row>1</xdr:row>
                    <xdr:rowOff>47625</xdr:rowOff>
                  </from>
                  <to>
                    <xdr:col>3</xdr:col>
                    <xdr:colOff>1428750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EDA4-5A76-4874-864F-ED80563116C5}">
  <sheetPr codeName="Sheet2"/>
  <dimension ref="A1:Q6"/>
  <sheetViews>
    <sheetView zoomScale="130" zoomScaleNormal="130" workbookViewId="0">
      <selection activeCell="B13" sqref="B13"/>
    </sheetView>
  </sheetViews>
  <sheetFormatPr defaultRowHeight="15" x14ac:dyDescent="0.25"/>
  <cols>
    <col min="1" max="1" width="12.85546875" bestFit="1" customWidth="1"/>
    <col min="7" max="7" width="10.85546875" bestFit="1" customWidth="1"/>
    <col min="8" max="8" width="11.140625" bestFit="1" customWidth="1"/>
    <col min="16" max="16" width="10.28515625" bestFit="1" customWidth="1"/>
  </cols>
  <sheetData>
    <row r="1" spans="1:17" x14ac:dyDescent="0.25">
      <c r="A1" t="s">
        <v>0</v>
      </c>
      <c r="B1" t="s">
        <v>1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7" x14ac:dyDescent="0.25">
      <c r="A2" t="s">
        <v>19</v>
      </c>
      <c r="B2">
        <v>1</v>
      </c>
      <c r="C2">
        <f>25*Q3</f>
        <v>25</v>
      </c>
      <c r="D2">
        <v>1</v>
      </c>
      <c r="E2">
        <v>1</v>
      </c>
      <c r="F2">
        <v>1</v>
      </c>
      <c r="G2">
        <f>0.8*Q2</f>
        <v>0.8</v>
      </c>
      <c r="H2">
        <f>G2</f>
        <v>0.8</v>
      </c>
      <c r="I2">
        <v>10</v>
      </c>
      <c r="J2">
        <v>-1</v>
      </c>
      <c r="K2">
        <v>10</v>
      </c>
      <c r="P2" t="s">
        <v>60</v>
      </c>
      <c r="Q2">
        <v>1</v>
      </c>
    </row>
    <row r="3" spans="1:17" x14ac:dyDescent="0.25">
      <c r="A3" t="s">
        <v>20</v>
      </c>
      <c r="B3">
        <v>2</v>
      </c>
      <c r="C3">
        <f>40*Q3</f>
        <v>40</v>
      </c>
      <c r="D3">
        <v>1</v>
      </c>
      <c r="E3">
        <v>1</v>
      </c>
      <c r="F3">
        <v>1</v>
      </c>
      <c r="G3">
        <f>1.1*Q2</f>
        <v>1.1000000000000001</v>
      </c>
      <c r="H3">
        <f t="shared" ref="H3:H6" si="0">G3</f>
        <v>1.1000000000000001</v>
      </c>
      <c r="I3">
        <v>10</v>
      </c>
      <c r="J3">
        <v>-1</v>
      </c>
      <c r="K3">
        <v>15</v>
      </c>
      <c r="P3" t="s">
        <v>77</v>
      </c>
      <c r="Q3">
        <v>1</v>
      </c>
    </row>
    <row r="4" spans="1:17" x14ac:dyDescent="0.25">
      <c r="A4" t="s">
        <v>21</v>
      </c>
      <c r="B4">
        <v>3</v>
      </c>
      <c r="C4">
        <f>60*Q3</f>
        <v>60</v>
      </c>
      <c r="D4">
        <v>1</v>
      </c>
      <c r="E4">
        <v>1</v>
      </c>
      <c r="F4">
        <v>1</v>
      </c>
      <c r="G4">
        <f>0.75*Q2</f>
        <v>0.75</v>
      </c>
      <c r="H4">
        <f t="shared" si="0"/>
        <v>0.75</v>
      </c>
      <c r="I4">
        <v>10</v>
      </c>
      <c r="J4">
        <v>-1</v>
      </c>
      <c r="K4">
        <v>20</v>
      </c>
      <c r="M4" s="1" t="s">
        <v>30</v>
      </c>
      <c r="N4" s="1" t="s">
        <v>31</v>
      </c>
    </row>
    <row r="5" spans="1:17" x14ac:dyDescent="0.25">
      <c r="A5" t="s">
        <v>22</v>
      </c>
      <c r="B5">
        <v>4</v>
      </c>
      <c r="C5">
        <f>80*Q3</f>
        <v>80</v>
      </c>
      <c r="D5">
        <v>1</v>
      </c>
      <c r="E5">
        <v>1</v>
      </c>
      <c r="F5">
        <v>1</v>
      </c>
      <c r="G5">
        <f>1.3*Q2</f>
        <v>1.3</v>
      </c>
      <c r="H5">
        <f t="shared" si="0"/>
        <v>1.3</v>
      </c>
      <c r="I5">
        <v>10</v>
      </c>
      <c r="J5">
        <v>-1</v>
      </c>
      <c r="K5">
        <v>25</v>
      </c>
    </row>
    <row r="6" spans="1:17" x14ac:dyDescent="0.25">
      <c r="A6" t="s">
        <v>23</v>
      </c>
      <c r="B6">
        <v>5</v>
      </c>
      <c r="C6">
        <f>100*Q3</f>
        <v>100</v>
      </c>
      <c r="D6">
        <v>1</v>
      </c>
      <c r="E6">
        <v>1</v>
      </c>
      <c r="F6">
        <v>1</v>
      </c>
      <c r="G6">
        <f>1.3*Q2</f>
        <v>1.3</v>
      </c>
      <c r="H6">
        <f t="shared" si="0"/>
        <v>1.3</v>
      </c>
      <c r="I6">
        <v>10</v>
      </c>
      <c r="J6">
        <v>-1</v>
      </c>
      <c r="K6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Mobs">
                <anchor moveWithCells="1" sizeWithCells="1">
                  <from>
                    <xdr:col>12</xdr:col>
                    <xdr:colOff>28575</xdr:colOff>
                    <xdr:row>4</xdr:row>
                    <xdr:rowOff>66675</xdr:rowOff>
                  </from>
                  <to>
                    <xdr:col>13</xdr:col>
                    <xdr:colOff>447675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4771-8D63-4C20-A62A-9A9EA08C0C68}">
  <sheetPr codeName="Sheet3"/>
  <dimension ref="A2:AA70"/>
  <sheetViews>
    <sheetView zoomScaleNormal="100" workbookViewId="0">
      <selection activeCell="D11" sqref="D11"/>
    </sheetView>
  </sheetViews>
  <sheetFormatPr defaultRowHeight="15" x14ac:dyDescent="0.25"/>
  <cols>
    <col min="1" max="3" width="11" customWidth="1"/>
    <col min="4" max="4" width="12.7109375" bestFit="1" customWidth="1"/>
    <col min="5" max="5" width="14.7109375" customWidth="1"/>
    <col min="6" max="6" width="13.140625" bestFit="1" customWidth="1"/>
    <col min="7" max="8" width="5.140625" style="1" customWidth="1"/>
    <col min="9" max="9" width="5.140625" style="4" customWidth="1"/>
    <col min="10" max="10" width="5.140625" style="1" customWidth="1"/>
    <col min="11" max="11" width="5.140625" style="4" customWidth="1"/>
    <col min="12" max="12" width="5.140625" customWidth="1"/>
    <col min="13" max="13" width="5.140625" style="4" customWidth="1"/>
    <col min="14" max="14" width="5.140625" customWidth="1"/>
    <col min="15" max="15" width="5.140625" style="4" customWidth="1"/>
    <col min="16" max="16" width="5.140625" customWidth="1"/>
    <col min="17" max="17" width="5.140625" style="4" customWidth="1"/>
    <col min="21" max="21" width="15.85546875" bestFit="1" customWidth="1"/>
    <col min="26" max="26" width="15.140625" bestFit="1" customWidth="1"/>
  </cols>
  <sheetData>
    <row r="2" spans="1:22" x14ac:dyDescent="0.25">
      <c r="B2" s="1" t="s">
        <v>195</v>
      </c>
      <c r="C2" s="1" t="s">
        <v>264</v>
      </c>
    </row>
    <row r="4" spans="1:22" x14ac:dyDescent="0.25">
      <c r="A4" t="s">
        <v>89</v>
      </c>
      <c r="B4" t="s">
        <v>90</v>
      </c>
      <c r="C4" t="s">
        <v>91</v>
      </c>
      <c r="D4" t="s">
        <v>92</v>
      </c>
      <c r="E4" t="s">
        <v>93</v>
      </c>
      <c r="F4" t="s">
        <v>94</v>
      </c>
      <c r="G4" s="1" t="s">
        <v>95</v>
      </c>
      <c r="H4" s="1" t="s">
        <v>96</v>
      </c>
      <c r="I4" s="4" t="s">
        <v>97</v>
      </c>
      <c r="J4" s="1" t="s">
        <v>98</v>
      </c>
      <c r="K4" s="4" t="s">
        <v>99</v>
      </c>
      <c r="L4" t="s">
        <v>100</v>
      </c>
      <c r="M4" s="4" t="s">
        <v>101</v>
      </c>
      <c r="N4" t="s">
        <v>102</v>
      </c>
      <c r="O4" s="4" t="s">
        <v>103</v>
      </c>
      <c r="P4" t="s">
        <v>104</v>
      </c>
      <c r="Q4" s="4" t="s">
        <v>105</v>
      </c>
    </row>
    <row r="5" spans="1:22" x14ac:dyDescent="0.25">
      <c r="A5" t="s">
        <v>0</v>
      </c>
      <c r="B5" t="s">
        <v>1</v>
      </c>
      <c r="C5" t="s">
        <v>24</v>
      </c>
      <c r="D5" t="s">
        <v>25</v>
      </c>
      <c r="E5" t="s">
        <v>36</v>
      </c>
      <c r="F5" t="s">
        <v>37</v>
      </c>
      <c r="U5" t="s">
        <v>59</v>
      </c>
      <c r="V5">
        <v>0.5</v>
      </c>
    </row>
    <row r="6" spans="1:22" x14ac:dyDescent="0.25">
      <c r="A6" t="s">
        <v>26</v>
      </c>
      <c r="B6">
        <v>1</v>
      </c>
      <c r="C6">
        <v>8</v>
      </c>
      <c r="D6" s="3">
        <v>0.5</v>
      </c>
      <c r="E6" s="2" t="str">
        <f>_xlfn.TEXTJOIN(",",TRUE,H6,J6,L6,N6,P6)</f>
        <v>1</v>
      </c>
      <c r="F6" s="2" t="str">
        <f>_xlfn.TEXTJOIN(",",TRUE,I6,K6,M6,O6,Q6)</f>
        <v>1</v>
      </c>
      <c r="H6" s="1">
        <v>1</v>
      </c>
      <c r="I6" s="4">
        <v>1</v>
      </c>
      <c r="L6" s="1"/>
      <c r="N6" s="1"/>
      <c r="P6" s="1"/>
    </row>
    <row r="7" spans="1:22" x14ac:dyDescent="0.25">
      <c r="A7" t="s">
        <v>27</v>
      </c>
      <c r="B7">
        <v>2</v>
      </c>
      <c r="C7">
        <v>9</v>
      </c>
      <c r="D7" s="3">
        <v>0.2</v>
      </c>
      <c r="E7" s="2" t="str">
        <f t="shared" ref="E7:E28" si="0">_xlfn.TEXTJOIN(",",TRUE,H7,J7,L7,N7,P7)</f>
        <v>1</v>
      </c>
      <c r="F7" s="2" t="str">
        <f t="shared" ref="F7:F28" si="1">_xlfn.TEXTJOIN(",",TRUE,I7,K7,M7,O7,Q7)</f>
        <v>5</v>
      </c>
      <c r="H7" s="1">
        <v>1</v>
      </c>
      <c r="I7" s="4">
        <v>5</v>
      </c>
      <c r="L7" s="1"/>
      <c r="N7" s="1"/>
      <c r="P7" s="1"/>
    </row>
    <row r="8" spans="1:22" x14ac:dyDescent="0.25">
      <c r="A8" t="s">
        <v>28</v>
      </c>
      <c r="B8">
        <v>3</v>
      </c>
      <c r="C8">
        <v>10</v>
      </c>
      <c r="D8" s="3">
        <v>0.2</v>
      </c>
      <c r="E8" s="2" t="str">
        <f t="shared" si="0"/>
        <v>1,2</v>
      </c>
      <c r="F8" s="2" t="str">
        <f t="shared" si="1"/>
        <v>5,1</v>
      </c>
      <c r="H8" s="1">
        <v>1</v>
      </c>
      <c r="I8" s="4">
        <v>5</v>
      </c>
      <c r="J8" s="1">
        <v>2</v>
      </c>
      <c r="K8" s="4">
        <v>1</v>
      </c>
      <c r="L8" s="1"/>
      <c r="N8" s="1"/>
      <c r="P8" s="1"/>
    </row>
    <row r="9" spans="1:22" x14ac:dyDescent="0.25">
      <c r="A9" t="s">
        <v>29</v>
      </c>
      <c r="B9">
        <v>4</v>
      </c>
      <c r="C9">
        <v>12</v>
      </c>
      <c r="D9" s="3">
        <v>0.15</v>
      </c>
      <c r="E9" s="2" t="str">
        <f t="shared" si="0"/>
        <v>1,2</v>
      </c>
      <c r="F9" s="2" t="str">
        <f t="shared" si="1"/>
        <v>6,2</v>
      </c>
      <c r="H9" s="1">
        <v>1</v>
      </c>
      <c r="I9" s="4">
        <v>6</v>
      </c>
      <c r="J9" s="1">
        <v>2</v>
      </c>
      <c r="K9" s="4">
        <v>2</v>
      </c>
      <c r="L9" s="1"/>
      <c r="N9" s="1"/>
      <c r="P9" s="1"/>
    </row>
    <row r="10" spans="1:22" x14ac:dyDescent="0.25">
      <c r="A10" t="s">
        <v>32</v>
      </c>
      <c r="B10">
        <v>5</v>
      </c>
      <c r="C10">
        <v>12</v>
      </c>
      <c r="D10" s="3">
        <v>0.125</v>
      </c>
      <c r="E10" s="2" t="str">
        <f t="shared" si="0"/>
        <v>1,2</v>
      </c>
      <c r="F10" s="2" t="str">
        <f t="shared" si="1"/>
        <v>3,3</v>
      </c>
      <c r="H10" s="1">
        <v>1</v>
      </c>
      <c r="I10" s="4">
        <v>3</v>
      </c>
      <c r="J10" s="1">
        <v>2</v>
      </c>
      <c r="K10" s="4">
        <v>3</v>
      </c>
      <c r="L10" s="1"/>
      <c r="N10" s="1"/>
      <c r="P10" s="1"/>
    </row>
    <row r="11" spans="1:22" x14ac:dyDescent="0.25">
      <c r="A11" t="s">
        <v>33</v>
      </c>
      <c r="B11">
        <v>6</v>
      </c>
      <c r="C11">
        <v>12</v>
      </c>
      <c r="D11" s="3">
        <f t="shared" ref="D11:D26" si="2">0.95*D10</f>
        <v>0.11874999999999999</v>
      </c>
      <c r="E11" s="2" t="str">
        <f>_xlfn.TEXTJOIN(",",TRUE,H11,J11,L11,N11,P11)</f>
        <v>2,3</v>
      </c>
      <c r="F11" s="2" t="str">
        <f>_xlfn.TEXTJOIN(",",TRUE,I11,K11,M11,O11,Q11)</f>
        <v>4,2</v>
      </c>
      <c r="J11" s="1">
        <v>2</v>
      </c>
      <c r="K11" s="4">
        <v>4</v>
      </c>
      <c r="L11" s="1">
        <v>3</v>
      </c>
      <c r="M11" s="4">
        <v>2</v>
      </c>
      <c r="N11" s="1"/>
      <c r="P11" s="1"/>
    </row>
    <row r="12" spans="1:22" x14ac:dyDescent="0.25">
      <c r="A12" t="s">
        <v>34</v>
      </c>
      <c r="B12">
        <v>7</v>
      </c>
      <c r="C12">
        <v>12</v>
      </c>
      <c r="D12" s="3">
        <f t="shared" si="2"/>
        <v>0.1128125</v>
      </c>
      <c r="E12" s="2" t="str">
        <f t="shared" si="0"/>
        <v>2</v>
      </c>
      <c r="F12" s="2" t="str">
        <f t="shared" si="1"/>
        <v>8</v>
      </c>
      <c r="G12"/>
      <c r="J12" s="1">
        <v>2</v>
      </c>
      <c r="K12" s="4">
        <v>8</v>
      </c>
      <c r="L12" s="1"/>
      <c r="N12" s="1"/>
      <c r="P12" s="1"/>
    </row>
    <row r="13" spans="1:22" x14ac:dyDescent="0.25">
      <c r="A13" t="s">
        <v>35</v>
      </c>
      <c r="B13">
        <v>8</v>
      </c>
      <c r="C13">
        <v>12</v>
      </c>
      <c r="D13" s="3">
        <f t="shared" si="2"/>
        <v>0.10717187499999999</v>
      </c>
      <c r="E13" s="2" t="str">
        <f t="shared" si="0"/>
        <v>1,2</v>
      </c>
      <c r="F13" s="2" t="str">
        <f t="shared" si="1"/>
        <v>12,1</v>
      </c>
      <c r="H13" s="1">
        <v>1</v>
      </c>
      <c r="I13" s="4">
        <v>12</v>
      </c>
      <c r="J13" s="1">
        <v>2</v>
      </c>
      <c r="K13" s="4">
        <v>1</v>
      </c>
      <c r="L13" s="1"/>
      <c r="N13" s="1"/>
      <c r="P13" s="1"/>
      <c r="U13" s="2"/>
    </row>
    <row r="14" spans="1:22" x14ac:dyDescent="0.25">
      <c r="A14" t="s">
        <v>44</v>
      </c>
      <c r="B14">
        <v>9</v>
      </c>
      <c r="C14">
        <v>12</v>
      </c>
      <c r="D14" s="3">
        <f t="shared" si="2"/>
        <v>0.10181328124999998</v>
      </c>
      <c r="E14" s="2" t="str">
        <f t="shared" si="0"/>
        <v>1</v>
      </c>
      <c r="F14" s="2" t="str">
        <f t="shared" si="1"/>
        <v>15</v>
      </c>
      <c r="H14" s="1">
        <v>1</v>
      </c>
      <c r="I14" s="4">
        <v>15</v>
      </c>
      <c r="L14" s="1"/>
      <c r="N14" s="1"/>
      <c r="P14" s="1"/>
      <c r="U14" s="2"/>
    </row>
    <row r="15" spans="1:22" x14ac:dyDescent="0.25">
      <c r="A15" t="s">
        <v>45</v>
      </c>
      <c r="B15">
        <v>10</v>
      </c>
      <c r="C15">
        <v>12</v>
      </c>
      <c r="D15" s="3">
        <f t="shared" si="2"/>
        <v>9.6722617187499985E-2</v>
      </c>
      <c r="E15" s="2" t="str">
        <f t="shared" si="0"/>
        <v>2,3</v>
      </c>
      <c r="F15" s="2" t="str">
        <f t="shared" si="1"/>
        <v>8,2</v>
      </c>
      <c r="J15" s="1">
        <v>2</v>
      </c>
      <c r="K15" s="4">
        <v>8</v>
      </c>
      <c r="L15" s="1">
        <v>3</v>
      </c>
      <c r="M15" s="4">
        <v>2</v>
      </c>
      <c r="N15" s="1"/>
      <c r="P15" s="1"/>
      <c r="U15" s="2"/>
    </row>
    <row r="16" spans="1:22" x14ac:dyDescent="0.25">
      <c r="A16" t="s">
        <v>46</v>
      </c>
      <c r="B16">
        <v>11</v>
      </c>
      <c r="C16">
        <v>12</v>
      </c>
      <c r="D16" s="3">
        <f t="shared" si="2"/>
        <v>9.1886486328124975E-2</v>
      </c>
      <c r="E16" s="2" t="str">
        <f t="shared" si="0"/>
        <v>1,2,3</v>
      </c>
      <c r="F16" s="2" t="str">
        <f t="shared" si="1"/>
        <v>10,4,3</v>
      </c>
      <c r="H16" s="1">
        <v>1</v>
      </c>
      <c r="I16" s="4">
        <v>10</v>
      </c>
      <c r="J16" s="1">
        <v>2</v>
      </c>
      <c r="K16" s="4">
        <v>4</v>
      </c>
      <c r="L16" s="1">
        <v>3</v>
      </c>
      <c r="M16" s="4">
        <v>3</v>
      </c>
      <c r="N16" s="1"/>
      <c r="P16" s="1"/>
      <c r="U16" s="2"/>
    </row>
    <row r="17" spans="1:27" x14ac:dyDescent="0.25">
      <c r="A17" t="s">
        <v>47</v>
      </c>
      <c r="B17">
        <v>12</v>
      </c>
      <c r="C17">
        <v>12</v>
      </c>
      <c r="D17" s="3">
        <f t="shared" si="2"/>
        <v>8.7292162011718716E-2</v>
      </c>
      <c r="E17" s="2" t="str">
        <f t="shared" si="0"/>
        <v>2,3</v>
      </c>
      <c r="F17" s="2" t="str">
        <f t="shared" si="1"/>
        <v>10,2</v>
      </c>
      <c r="J17" s="1">
        <v>2</v>
      </c>
      <c r="K17" s="4">
        <v>10</v>
      </c>
      <c r="L17" s="1">
        <v>3</v>
      </c>
      <c r="M17" s="4">
        <v>2</v>
      </c>
      <c r="N17" s="1"/>
      <c r="P17" s="1"/>
      <c r="U17" s="2"/>
    </row>
    <row r="18" spans="1:27" x14ac:dyDescent="0.25">
      <c r="A18" t="s">
        <v>48</v>
      </c>
      <c r="B18">
        <v>13</v>
      </c>
      <c r="C18">
        <v>12</v>
      </c>
      <c r="D18" s="3">
        <f t="shared" si="2"/>
        <v>8.2927553911132781E-2</v>
      </c>
      <c r="E18" s="2" t="str">
        <f t="shared" si="0"/>
        <v>2</v>
      </c>
      <c r="F18" s="2" t="str">
        <f t="shared" si="1"/>
        <v>15</v>
      </c>
      <c r="J18" s="1">
        <v>2</v>
      </c>
      <c r="K18" s="4">
        <v>15</v>
      </c>
      <c r="L18" s="1"/>
      <c r="N18" s="1"/>
      <c r="P18" s="1"/>
      <c r="U18" s="2"/>
      <c r="Z18" s="6"/>
      <c r="AA18" s="5"/>
    </row>
    <row r="19" spans="1:27" x14ac:dyDescent="0.25">
      <c r="A19" t="s">
        <v>49</v>
      </c>
      <c r="B19">
        <v>14</v>
      </c>
      <c r="C19">
        <v>12</v>
      </c>
      <c r="D19" s="3">
        <f t="shared" si="2"/>
        <v>7.8781176215576135E-2</v>
      </c>
      <c r="E19" s="2" t="str">
        <f t="shared" si="0"/>
        <v>1,2,3</v>
      </c>
      <c r="F19" s="2" t="str">
        <f t="shared" si="1"/>
        <v>5,10,5</v>
      </c>
      <c r="H19" s="1">
        <v>1</v>
      </c>
      <c r="I19" s="4">
        <v>5</v>
      </c>
      <c r="J19" s="1">
        <v>2</v>
      </c>
      <c r="K19" s="4">
        <v>10</v>
      </c>
      <c r="L19" s="1">
        <v>3</v>
      </c>
      <c r="M19" s="4">
        <v>5</v>
      </c>
      <c r="N19" s="1"/>
      <c r="P19" s="1"/>
      <c r="U19" s="2"/>
      <c r="Z19" s="6"/>
    </row>
    <row r="20" spans="1:27" x14ac:dyDescent="0.25">
      <c r="A20" t="s">
        <v>50</v>
      </c>
      <c r="B20">
        <v>15</v>
      </c>
      <c r="C20">
        <v>12</v>
      </c>
      <c r="D20" s="3">
        <f t="shared" si="2"/>
        <v>7.484211740479732E-2</v>
      </c>
      <c r="E20" s="2" t="str">
        <f t="shared" si="0"/>
        <v>1,2,3,4</v>
      </c>
      <c r="F20" s="2" t="str">
        <f t="shared" si="1"/>
        <v>3,4,6,2</v>
      </c>
      <c r="H20" s="1">
        <v>1</v>
      </c>
      <c r="I20" s="4">
        <v>3</v>
      </c>
      <c r="J20" s="1">
        <v>2</v>
      </c>
      <c r="K20" s="4">
        <v>4</v>
      </c>
      <c r="L20" s="1">
        <v>3</v>
      </c>
      <c r="M20" s="4">
        <v>6</v>
      </c>
      <c r="N20" s="1">
        <v>4</v>
      </c>
      <c r="O20" s="4">
        <v>2</v>
      </c>
      <c r="P20" s="1"/>
      <c r="U20" s="2"/>
    </row>
    <row r="21" spans="1:27" x14ac:dyDescent="0.25">
      <c r="A21" t="s">
        <v>51</v>
      </c>
      <c r="B21">
        <v>16</v>
      </c>
      <c r="C21">
        <v>12</v>
      </c>
      <c r="D21" s="3">
        <f t="shared" si="2"/>
        <v>7.1100011534557445E-2</v>
      </c>
      <c r="E21" s="2" t="str">
        <f t="shared" si="0"/>
        <v>3</v>
      </c>
      <c r="F21" s="2" t="str">
        <f t="shared" si="1"/>
        <v>8</v>
      </c>
      <c r="L21" s="1">
        <v>3</v>
      </c>
      <c r="M21" s="4">
        <v>8</v>
      </c>
      <c r="N21" s="1"/>
      <c r="P21" s="1"/>
      <c r="U21" s="2"/>
    </row>
    <row r="22" spans="1:27" x14ac:dyDescent="0.25">
      <c r="A22" t="s">
        <v>52</v>
      </c>
      <c r="B22">
        <v>17</v>
      </c>
      <c r="C22">
        <v>12</v>
      </c>
      <c r="D22" s="3">
        <f t="shared" si="2"/>
        <v>6.7545010957829568E-2</v>
      </c>
      <c r="E22" s="2" t="str">
        <f t="shared" si="0"/>
        <v>3</v>
      </c>
      <c r="F22" s="2" t="str">
        <f t="shared" si="1"/>
        <v>10</v>
      </c>
      <c r="L22" s="1">
        <v>3</v>
      </c>
      <c r="M22" s="4">
        <v>10</v>
      </c>
      <c r="N22" s="1"/>
      <c r="P22" s="1"/>
      <c r="U22" s="2"/>
    </row>
    <row r="23" spans="1:27" x14ac:dyDescent="0.25">
      <c r="A23" t="s">
        <v>53</v>
      </c>
      <c r="B23">
        <v>18</v>
      </c>
      <c r="C23">
        <v>12</v>
      </c>
      <c r="D23" s="3">
        <f t="shared" si="2"/>
        <v>6.4167760409938088E-2</v>
      </c>
      <c r="E23" s="2" t="str">
        <f t="shared" si="0"/>
        <v>3,4</v>
      </c>
      <c r="F23" s="2" t="str">
        <f t="shared" si="1"/>
        <v>5,3</v>
      </c>
      <c r="L23" s="1">
        <v>3</v>
      </c>
      <c r="M23" s="4">
        <v>5</v>
      </c>
      <c r="N23" s="1">
        <v>4</v>
      </c>
      <c r="O23" s="4">
        <v>3</v>
      </c>
      <c r="P23" s="1"/>
      <c r="U23" s="2"/>
    </row>
    <row r="24" spans="1:27" x14ac:dyDescent="0.25">
      <c r="A24" t="s">
        <v>54</v>
      </c>
      <c r="B24">
        <v>19</v>
      </c>
      <c r="C24">
        <v>12</v>
      </c>
      <c r="D24" s="3">
        <f t="shared" si="2"/>
        <v>6.0959372389441178E-2</v>
      </c>
      <c r="E24" s="2" t="str">
        <f t="shared" si="0"/>
        <v>3,4</v>
      </c>
      <c r="F24" s="2" t="str">
        <f t="shared" si="1"/>
        <v>10,1</v>
      </c>
      <c r="L24" s="1">
        <v>3</v>
      </c>
      <c r="M24" s="4">
        <v>10</v>
      </c>
      <c r="N24" s="1">
        <v>4</v>
      </c>
      <c r="O24" s="4">
        <v>1</v>
      </c>
      <c r="P24" s="1"/>
    </row>
    <row r="25" spans="1:27" x14ac:dyDescent="0.25">
      <c r="A25" t="s">
        <v>55</v>
      </c>
      <c r="B25">
        <v>20</v>
      </c>
      <c r="C25">
        <v>12</v>
      </c>
      <c r="D25" s="3">
        <f t="shared" si="2"/>
        <v>5.7911403769969116E-2</v>
      </c>
      <c r="E25" s="2" t="str">
        <f t="shared" si="0"/>
        <v>1,2,3,4,5</v>
      </c>
      <c r="F25" s="2" t="str">
        <f t="shared" si="1"/>
        <v>3,4,10,5,4</v>
      </c>
      <c r="H25" s="1">
        <v>1</v>
      </c>
      <c r="I25" s="4">
        <v>3</v>
      </c>
      <c r="J25" s="1">
        <v>2</v>
      </c>
      <c r="K25" s="4">
        <v>4</v>
      </c>
      <c r="L25" s="1">
        <v>3</v>
      </c>
      <c r="M25" s="4">
        <v>10</v>
      </c>
      <c r="N25" s="1">
        <v>4</v>
      </c>
      <c r="O25" s="4">
        <v>5</v>
      </c>
      <c r="P25" s="1">
        <v>5</v>
      </c>
      <c r="Q25" s="4">
        <v>4</v>
      </c>
    </row>
    <row r="26" spans="1:27" x14ac:dyDescent="0.25">
      <c r="A26" t="s">
        <v>56</v>
      </c>
      <c r="B26">
        <v>21</v>
      </c>
      <c r="C26">
        <v>12</v>
      </c>
      <c r="D26" s="3">
        <f t="shared" si="2"/>
        <v>5.5015833581470656E-2</v>
      </c>
      <c r="E26" s="2" t="str">
        <f t="shared" si="0"/>
        <v>3,4,5</v>
      </c>
      <c r="F26" s="2" t="str">
        <f t="shared" si="1"/>
        <v>10,6,6</v>
      </c>
      <c r="L26" s="1">
        <v>3</v>
      </c>
      <c r="M26" s="4">
        <v>10</v>
      </c>
      <c r="N26" s="1">
        <v>4</v>
      </c>
      <c r="O26" s="4">
        <v>6</v>
      </c>
      <c r="P26" s="1">
        <v>5</v>
      </c>
      <c r="Q26" s="4">
        <v>6</v>
      </c>
    </row>
    <row r="27" spans="1:27" x14ac:dyDescent="0.25">
      <c r="A27" t="s">
        <v>57</v>
      </c>
      <c r="B27">
        <v>22</v>
      </c>
      <c r="C27">
        <v>12</v>
      </c>
      <c r="D27" s="3">
        <f>0.98*D26</f>
        <v>5.3915516909841241E-2</v>
      </c>
      <c r="E27" s="2" t="str">
        <f t="shared" si="0"/>
        <v>3,4,5</v>
      </c>
      <c r="F27" s="2" t="str">
        <f t="shared" si="1"/>
        <v>10,7,7</v>
      </c>
      <c r="L27" s="1">
        <v>3</v>
      </c>
      <c r="M27" s="4">
        <v>10</v>
      </c>
      <c r="N27" s="1">
        <v>4</v>
      </c>
      <c r="O27" s="4">
        <v>7</v>
      </c>
      <c r="P27" s="1">
        <v>5</v>
      </c>
      <c r="Q27" s="4">
        <v>7</v>
      </c>
    </row>
    <row r="28" spans="1:27" x14ac:dyDescent="0.25">
      <c r="A28" t="s">
        <v>58</v>
      </c>
      <c r="B28">
        <v>23</v>
      </c>
      <c r="C28">
        <v>12</v>
      </c>
      <c r="D28" s="3">
        <f t="shared" ref="D28:D70" si="3">0.98*D27</f>
        <v>5.2837206571644417E-2</v>
      </c>
      <c r="E28" s="2" t="str">
        <f t="shared" si="0"/>
        <v>3,4,5</v>
      </c>
      <c r="F28" s="2" t="str">
        <f t="shared" si="1"/>
        <v>10,6,9</v>
      </c>
      <c r="L28" s="1">
        <v>3</v>
      </c>
      <c r="M28" s="4">
        <v>10</v>
      </c>
      <c r="N28" s="1">
        <v>4</v>
      </c>
      <c r="O28" s="4">
        <v>6</v>
      </c>
      <c r="P28" s="1">
        <v>5</v>
      </c>
      <c r="Q28" s="4">
        <v>9</v>
      </c>
    </row>
    <row r="29" spans="1:27" x14ac:dyDescent="0.25">
      <c r="A29" t="s">
        <v>223</v>
      </c>
      <c r="B29">
        <v>24</v>
      </c>
      <c r="C29">
        <v>12</v>
      </c>
      <c r="D29" s="3">
        <f t="shared" si="3"/>
        <v>5.1780462440211526E-2</v>
      </c>
      <c r="E29" s="2" t="str">
        <f t="shared" ref="E29:E70" si="4">_xlfn.TEXTJOIN(",",TRUE,H29,J29,L29,N29,P29)</f>
        <v>3,4,5</v>
      </c>
      <c r="F29" s="2" t="str">
        <f t="shared" ref="F29:F70" si="5">_xlfn.TEXTJOIN(",",TRUE,I29,K29,M29,O29,Q29)</f>
        <v>0,0,12</v>
      </c>
      <c r="L29" s="1">
        <v>3</v>
      </c>
      <c r="M29" s="4">
        <v>0</v>
      </c>
      <c r="N29" s="1">
        <v>4</v>
      </c>
      <c r="O29" s="4">
        <v>0</v>
      </c>
      <c r="P29" s="1">
        <v>5</v>
      </c>
      <c r="Q29" s="4">
        <v>12</v>
      </c>
    </row>
    <row r="30" spans="1:27" x14ac:dyDescent="0.25">
      <c r="A30" t="s">
        <v>224</v>
      </c>
      <c r="B30">
        <v>25</v>
      </c>
      <c r="C30">
        <v>12</v>
      </c>
      <c r="D30" s="3">
        <f t="shared" si="3"/>
        <v>5.0744853191407292E-2</v>
      </c>
      <c r="E30" s="2" t="str">
        <f t="shared" si="4"/>
        <v>3,4,5</v>
      </c>
      <c r="F30" s="2" t="str">
        <f t="shared" si="5"/>
        <v>0,0,14</v>
      </c>
      <c r="L30" s="1">
        <v>3</v>
      </c>
      <c r="M30" s="4">
        <v>0</v>
      </c>
      <c r="N30" s="1">
        <v>4</v>
      </c>
      <c r="O30" s="4">
        <v>0</v>
      </c>
      <c r="P30" s="1">
        <v>5</v>
      </c>
      <c r="Q30" s="4">
        <v>14</v>
      </c>
    </row>
    <row r="31" spans="1:27" x14ac:dyDescent="0.25">
      <c r="A31" t="s">
        <v>225</v>
      </c>
      <c r="B31">
        <v>26</v>
      </c>
      <c r="C31">
        <v>12</v>
      </c>
      <c r="D31" s="3">
        <f t="shared" si="3"/>
        <v>4.9729956127579147E-2</v>
      </c>
      <c r="E31" s="2" t="str">
        <f t="shared" si="4"/>
        <v>3,4,5</v>
      </c>
      <c r="F31" s="2" t="str">
        <f t="shared" si="5"/>
        <v>0,0,18</v>
      </c>
      <c r="L31" s="1">
        <v>3</v>
      </c>
      <c r="M31" s="4">
        <v>0</v>
      </c>
      <c r="N31" s="1">
        <v>4</v>
      </c>
      <c r="O31" s="4">
        <v>0</v>
      </c>
      <c r="P31" s="1">
        <v>5</v>
      </c>
      <c r="Q31" s="4">
        <v>18</v>
      </c>
    </row>
    <row r="32" spans="1:27" x14ac:dyDescent="0.25">
      <c r="A32" t="s">
        <v>226</v>
      </c>
      <c r="B32">
        <v>27</v>
      </c>
      <c r="C32">
        <v>12</v>
      </c>
      <c r="D32" s="3">
        <f t="shared" si="3"/>
        <v>4.8735357005027562E-2</v>
      </c>
      <c r="E32" s="2" t="str">
        <f t="shared" si="4"/>
        <v>3,4,5</v>
      </c>
      <c r="F32" s="2" t="str">
        <f t="shared" si="5"/>
        <v>0,0,22</v>
      </c>
      <c r="L32" s="1">
        <v>3</v>
      </c>
      <c r="M32" s="4">
        <v>0</v>
      </c>
      <c r="N32" s="1">
        <v>4</v>
      </c>
      <c r="O32" s="4">
        <v>0</v>
      </c>
      <c r="P32" s="1">
        <v>5</v>
      </c>
      <c r="Q32" s="4">
        <v>22</v>
      </c>
    </row>
    <row r="33" spans="1:17" x14ac:dyDescent="0.25">
      <c r="A33" t="s">
        <v>227</v>
      </c>
      <c r="B33">
        <v>28</v>
      </c>
      <c r="C33">
        <v>12</v>
      </c>
      <c r="D33" s="3">
        <f t="shared" si="3"/>
        <v>4.7760649864927007E-2</v>
      </c>
      <c r="E33" s="2" t="str">
        <f t="shared" si="4"/>
        <v>3,4,5</v>
      </c>
      <c r="F33" s="2" t="str">
        <f t="shared" si="5"/>
        <v>40,0,0</v>
      </c>
      <c r="L33" s="1">
        <v>3</v>
      </c>
      <c r="M33" s="4">
        <v>40</v>
      </c>
      <c r="N33" s="1">
        <v>4</v>
      </c>
      <c r="O33" s="4">
        <v>0</v>
      </c>
      <c r="P33" s="1">
        <v>5</v>
      </c>
      <c r="Q33" s="4">
        <v>0</v>
      </c>
    </row>
    <row r="34" spans="1:17" x14ac:dyDescent="0.25">
      <c r="A34" t="s">
        <v>228</v>
      </c>
      <c r="B34">
        <v>29</v>
      </c>
      <c r="C34">
        <v>12</v>
      </c>
      <c r="D34" s="3">
        <f t="shared" si="3"/>
        <v>4.6805436867628468E-2</v>
      </c>
      <c r="E34" s="2" t="str">
        <f t="shared" si="4"/>
        <v>3,4,5</v>
      </c>
      <c r="F34" s="2" t="str">
        <f t="shared" si="5"/>
        <v>0,20,1</v>
      </c>
      <c r="L34" s="1">
        <v>3</v>
      </c>
      <c r="M34" s="4">
        <v>0</v>
      </c>
      <c r="N34" s="1">
        <v>4</v>
      </c>
      <c r="O34" s="4">
        <v>20</v>
      </c>
      <c r="P34" s="1">
        <v>5</v>
      </c>
      <c r="Q34" s="4">
        <v>1</v>
      </c>
    </row>
    <row r="35" spans="1:17" x14ac:dyDescent="0.25">
      <c r="A35" t="s">
        <v>229</v>
      </c>
      <c r="B35">
        <v>30</v>
      </c>
      <c r="C35">
        <v>12</v>
      </c>
      <c r="D35" s="3">
        <f t="shared" si="3"/>
        <v>4.5869328130275895E-2</v>
      </c>
      <c r="E35" s="2" t="str">
        <f t="shared" si="4"/>
        <v>3,4,5</v>
      </c>
      <c r="F35" s="2" t="str">
        <f t="shared" si="5"/>
        <v>15,15,15</v>
      </c>
      <c r="L35" s="1">
        <v>3</v>
      </c>
      <c r="M35" s="4">
        <v>15</v>
      </c>
      <c r="N35" s="1">
        <v>4</v>
      </c>
      <c r="O35" s="4">
        <v>15</v>
      </c>
      <c r="P35" s="1">
        <v>5</v>
      </c>
      <c r="Q35" s="4">
        <v>15</v>
      </c>
    </row>
    <row r="36" spans="1:17" x14ac:dyDescent="0.25">
      <c r="A36" t="s">
        <v>230</v>
      </c>
      <c r="B36">
        <v>31</v>
      </c>
      <c r="C36">
        <v>12</v>
      </c>
      <c r="D36" s="3">
        <f t="shared" si="3"/>
        <v>4.4951941567670378E-2</v>
      </c>
      <c r="E36" s="2" t="str">
        <f t="shared" si="4"/>
        <v>3,4,5</v>
      </c>
      <c r="F36" s="2" t="str">
        <f t="shared" si="5"/>
        <v>15,15,15</v>
      </c>
      <c r="L36" s="1">
        <v>3</v>
      </c>
      <c r="M36" s="4">
        <v>15</v>
      </c>
      <c r="N36" s="1">
        <v>4</v>
      </c>
      <c r="O36" s="4">
        <v>15</v>
      </c>
      <c r="P36" s="1">
        <v>5</v>
      </c>
      <c r="Q36" s="4">
        <v>15</v>
      </c>
    </row>
    <row r="37" spans="1:17" x14ac:dyDescent="0.25">
      <c r="A37" t="s">
        <v>231</v>
      </c>
      <c r="B37">
        <v>32</v>
      </c>
      <c r="C37">
        <v>12</v>
      </c>
      <c r="D37" s="3">
        <f t="shared" si="3"/>
        <v>4.4052902736316971E-2</v>
      </c>
      <c r="E37" s="2" t="str">
        <f t="shared" si="4"/>
        <v>3,4,5</v>
      </c>
      <c r="F37" s="2" t="str">
        <f t="shared" si="5"/>
        <v>15,15,15</v>
      </c>
      <c r="L37" s="1">
        <v>3</v>
      </c>
      <c r="M37" s="4">
        <v>15</v>
      </c>
      <c r="N37" s="1">
        <v>4</v>
      </c>
      <c r="O37" s="4">
        <v>15</v>
      </c>
      <c r="P37" s="1">
        <v>5</v>
      </c>
      <c r="Q37" s="4">
        <v>15</v>
      </c>
    </row>
    <row r="38" spans="1:17" x14ac:dyDescent="0.25">
      <c r="A38" t="s">
        <v>232</v>
      </c>
      <c r="B38">
        <v>33</v>
      </c>
      <c r="C38">
        <v>12</v>
      </c>
      <c r="D38" s="3">
        <f t="shared" si="3"/>
        <v>4.3171844681590632E-2</v>
      </c>
      <c r="E38" s="2" t="str">
        <f t="shared" si="4"/>
        <v>3,4,5</v>
      </c>
      <c r="F38" s="2" t="str">
        <f t="shared" si="5"/>
        <v>15,15,15</v>
      </c>
      <c r="L38" s="1">
        <v>3</v>
      </c>
      <c r="M38" s="4">
        <v>15</v>
      </c>
      <c r="N38" s="1">
        <v>4</v>
      </c>
      <c r="O38" s="4">
        <v>15</v>
      </c>
      <c r="P38" s="1">
        <v>5</v>
      </c>
      <c r="Q38" s="4">
        <v>15</v>
      </c>
    </row>
    <row r="39" spans="1:17" x14ac:dyDescent="0.25">
      <c r="A39" t="s">
        <v>233</v>
      </c>
      <c r="B39">
        <v>34</v>
      </c>
      <c r="C39">
        <v>12</v>
      </c>
      <c r="D39" s="3">
        <f t="shared" si="3"/>
        <v>4.2308407787958816E-2</v>
      </c>
      <c r="E39" s="2" t="str">
        <f t="shared" si="4"/>
        <v>3,4,5</v>
      </c>
      <c r="F39" s="2" t="str">
        <f t="shared" si="5"/>
        <v>15,15,15</v>
      </c>
      <c r="L39" s="1">
        <v>3</v>
      </c>
      <c r="M39" s="4">
        <v>15</v>
      </c>
      <c r="N39" s="1">
        <v>4</v>
      </c>
      <c r="O39" s="4">
        <v>15</v>
      </c>
      <c r="P39" s="1">
        <v>5</v>
      </c>
      <c r="Q39" s="4">
        <v>15</v>
      </c>
    </row>
    <row r="40" spans="1:17" x14ac:dyDescent="0.25">
      <c r="A40" t="s">
        <v>234</v>
      </c>
      <c r="B40">
        <v>35</v>
      </c>
      <c r="C40">
        <v>12</v>
      </c>
      <c r="D40" s="3">
        <f t="shared" si="3"/>
        <v>4.1462239632199638E-2</v>
      </c>
      <c r="E40" s="2" t="str">
        <f t="shared" si="4"/>
        <v>3,4,5</v>
      </c>
      <c r="F40" s="2" t="str">
        <f t="shared" si="5"/>
        <v>15,15,15</v>
      </c>
      <c r="L40" s="1">
        <v>3</v>
      </c>
      <c r="M40" s="4">
        <v>15</v>
      </c>
      <c r="N40" s="1">
        <v>4</v>
      </c>
      <c r="O40" s="4">
        <v>15</v>
      </c>
      <c r="P40" s="1">
        <v>5</v>
      </c>
      <c r="Q40" s="4">
        <v>15</v>
      </c>
    </row>
    <row r="41" spans="1:17" x14ac:dyDescent="0.25">
      <c r="A41" t="s">
        <v>235</v>
      </c>
      <c r="B41">
        <v>36</v>
      </c>
      <c r="C41">
        <v>12</v>
      </c>
      <c r="D41" s="3">
        <f t="shared" si="3"/>
        <v>4.0632994839555646E-2</v>
      </c>
      <c r="E41" s="2" t="str">
        <f t="shared" si="4"/>
        <v>3,4,5</v>
      </c>
      <c r="F41" s="2" t="str">
        <f t="shared" si="5"/>
        <v>15,15,15</v>
      </c>
      <c r="L41" s="1">
        <v>3</v>
      </c>
      <c r="M41" s="4">
        <v>15</v>
      </c>
      <c r="N41" s="1">
        <v>4</v>
      </c>
      <c r="O41" s="4">
        <v>15</v>
      </c>
      <c r="P41" s="1">
        <v>5</v>
      </c>
      <c r="Q41" s="4">
        <v>15</v>
      </c>
    </row>
    <row r="42" spans="1:17" x14ac:dyDescent="0.25">
      <c r="A42" t="s">
        <v>236</v>
      </c>
      <c r="B42">
        <v>37</v>
      </c>
      <c r="C42">
        <v>12</v>
      </c>
      <c r="D42" s="3">
        <f t="shared" si="3"/>
        <v>3.9820334942764532E-2</v>
      </c>
      <c r="E42" s="2" t="str">
        <f t="shared" si="4"/>
        <v>3,4,5</v>
      </c>
      <c r="F42" s="2" t="str">
        <f t="shared" si="5"/>
        <v>15,15,15</v>
      </c>
      <c r="L42" s="1">
        <v>3</v>
      </c>
      <c r="M42" s="4">
        <v>15</v>
      </c>
      <c r="N42" s="1">
        <v>4</v>
      </c>
      <c r="O42" s="4">
        <v>15</v>
      </c>
      <c r="P42" s="1">
        <v>5</v>
      </c>
      <c r="Q42" s="4">
        <v>15</v>
      </c>
    </row>
    <row r="43" spans="1:17" x14ac:dyDescent="0.25">
      <c r="A43" t="s">
        <v>237</v>
      </c>
      <c r="B43">
        <v>38</v>
      </c>
      <c r="C43">
        <v>12</v>
      </c>
      <c r="D43" s="3">
        <f t="shared" si="3"/>
        <v>3.9023928243909239E-2</v>
      </c>
      <c r="E43" s="2" t="str">
        <f t="shared" si="4"/>
        <v>3,4,5</v>
      </c>
      <c r="F43" s="2" t="str">
        <f t="shared" si="5"/>
        <v>15,15,15</v>
      </c>
      <c r="L43" s="1">
        <v>3</v>
      </c>
      <c r="M43" s="4">
        <v>15</v>
      </c>
      <c r="N43" s="1">
        <v>4</v>
      </c>
      <c r="O43" s="4">
        <v>15</v>
      </c>
      <c r="P43" s="1">
        <v>5</v>
      </c>
      <c r="Q43" s="4">
        <v>15</v>
      </c>
    </row>
    <row r="44" spans="1:17" x14ac:dyDescent="0.25">
      <c r="A44" t="s">
        <v>238</v>
      </c>
      <c r="B44">
        <v>39</v>
      </c>
      <c r="C44">
        <v>12</v>
      </c>
      <c r="D44" s="3">
        <f t="shared" si="3"/>
        <v>3.8243449679031052E-2</v>
      </c>
      <c r="E44" s="2" t="str">
        <f t="shared" si="4"/>
        <v>3,4,5</v>
      </c>
      <c r="F44" s="2" t="str">
        <f t="shared" si="5"/>
        <v>15,15,15</v>
      </c>
      <c r="L44" s="1">
        <v>3</v>
      </c>
      <c r="M44" s="4">
        <v>15</v>
      </c>
      <c r="N44" s="1">
        <v>4</v>
      </c>
      <c r="O44" s="4">
        <v>15</v>
      </c>
      <c r="P44" s="1">
        <v>5</v>
      </c>
      <c r="Q44" s="4">
        <v>15</v>
      </c>
    </row>
    <row r="45" spans="1:17" x14ac:dyDescent="0.25">
      <c r="A45" t="s">
        <v>239</v>
      </c>
      <c r="B45">
        <v>40</v>
      </c>
      <c r="C45">
        <v>12</v>
      </c>
      <c r="D45" s="3">
        <f t="shared" si="3"/>
        <v>3.747858068545043E-2</v>
      </c>
      <c r="E45" s="2" t="str">
        <f t="shared" si="4"/>
        <v>3,4,5</v>
      </c>
      <c r="F45" s="2" t="str">
        <f t="shared" si="5"/>
        <v>15,15,15</v>
      </c>
      <c r="L45" s="1">
        <v>3</v>
      </c>
      <c r="M45" s="4">
        <v>15</v>
      </c>
      <c r="N45" s="1">
        <v>4</v>
      </c>
      <c r="O45" s="4">
        <v>15</v>
      </c>
      <c r="P45" s="1">
        <v>5</v>
      </c>
      <c r="Q45" s="4">
        <v>15</v>
      </c>
    </row>
    <row r="46" spans="1:17" x14ac:dyDescent="0.25">
      <c r="A46" t="s">
        <v>240</v>
      </c>
      <c r="B46">
        <v>41</v>
      </c>
      <c r="C46">
        <v>12</v>
      </c>
      <c r="D46" s="3">
        <f t="shared" si="3"/>
        <v>3.6729009071741418E-2</v>
      </c>
      <c r="E46" s="2" t="str">
        <f t="shared" si="4"/>
        <v>3,4,5</v>
      </c>
      <c r="F46" s="2" t="str">
        <f t="shared" si="5"/>
        <v>15,15,15</v>
      </c>
      <c r="L46" s="1">
        <v>3</v>
      </c>
      <c r="M46" s="4">
        <v>15</v>
      </c>
      <c r="N46" s="1">
        <v>4</v>
      </c>
      <c r="O46" s="4">
        <v>15</v>
      </c>
      <c r="P46" s="1">
        <v>5</v>
      </c>
      <c r="Q46" s="4">
        <v>15</v>
      </c>
    </row>
    <row r="47" spans="1:17" x14ac:dyDescent="0.25">
      <c r="A47" t="s">
        <v>241</v>
      </c>
      <c r="B47">
        <v>42</v>
      </c>
      <c r="C47">
        <v>12</v>
      </c>
      <c r="D47" s="3">
        <f t="shared" si="3"/>
        <v>3.5994428890306587E-2</v>
      </c>
      <c r="E47" s="2" t="str">
        <f t="shared" si="4"/>
        <v>3,4,5</v>
      </c>
      <c r="F47" s="2" t="str">
        <f t="shared" si="5"/>
        <v>15,15,15</v>
      </c>
      <c r="L47" s="1">
        <v>3</v>
      </c>
      <c r="M47" s="4">
        <v>15</v>
      </c>
      <c r="N47" s="1">
        <v>4</v>
      </c>
      <c r="O47" s="4">
        <v>15</v>
      </c>
      <c r="P47" s="1">
        <v>5</v>
      </c>
      <c r="Q47" s="4">
        <v>15</v>
      </c>
    </row>
    <row r="48" spans="1:17" x14ac:dyDescent="0.25">
      <c r="A48" t="s">
        <v>242</v>
      </c>
      <c r="B48">
        <v>43</v>
      </c>
      <c r="C48">
        <v>12</v>
      </c>
      <c r="D48" s="3">
        <f t="shared" si="3"/>
        <v>3.5274540312500456E-2</v>
      </c>
      <c r="E48" s="2" t="str">
        <f t="shared" si="4"/>
        <v>3,4,5</v>
      </c>
      <c r="F48" s="2" t="str">
        <f t="shared" si="5"/>
        <v>15,15,15</v>
      </c>
      <c r="L48" s="1">
        <v>3</v>
      </c>
      <c r="M48" s="4">
        <v>15</v>
      </c>
      <c r="N48" s="1">
        <v>4</v>
      </c>
      <c r="O48" s="4">
        <v>15</v>
      </c>
      <c r="P48" s="1">
        <v>5</v>
      </c>
      <c r="Q48" s="4">
        <v>15</v>
      </c>
    </row>
    <row r="49" spans="1:17" x14ac:dyDescent="0.25">
      <c r="A49" t="s">
        <v>243</v>
      </c>
      <c r="B49">
        <v>44</v>
      </c>
      <c r="C49">
        <v>12</v>
      </c>
      <c r="D49" s="3">
        <f t="shared" si="3"/>
        <v>3.4569049506250449E-2</v>
      </c>
      <c r="E49" s="2" t="str">
        <f t="shared" si="4"/>
        <v>3,4,5</v>
      </c>
      <c r="F49" s="2" t="str">
        <f t="shared" si="5"/>
        <v>15,15,15</v>
      </c>
      <c r="L49" s="1">
        <v>3</v>
      </c>
      <c r="M49" s="4">
        <v>15</v>
      </c>
      <c r="N49" s="1">
        <v>4</v>
      </c>
      <c r="O49" s="4">
        <v>15</v>
      </c>
      <c r="P49" s="1">
        <v>5</v>
      </c>
      <c r="Q49" s="4">
        <v>15</v>
      </c>
    </row>
    <row r="50" spans="1:17" x14ac:dyDescent="0.25">
      <c r="A50" t="s">
        <v>244</v>
      </c>
      <c r="B50">
        <v>45</v>
      </c>
      <c r="C50">
        <v>12</v>
      </c>
      <c r="D50" s="3">
        <f t="shared" si="3"/>
        <v>3.3877668516125441E-2</v>
      </c>
      <c r="E50" s="2" t="str">
        <f t="shared" si="4"/>
        <v>3,4,5</v>
      </c>
      <c r="F50" s="2" t="str">
        <f t="shared" si="5"/>
        <v>15,15,15</v>
      </c>
      <c r="L50" s="1">
        <v>3</v>
      </c>
      <c r="M50" s="4">
        <v>15</v>
      </c>
      <c r="N50" s="1">
        <v>4</v>
      </c>
      <c r="O50" s="4">
        <v>15</v>
      </c>
      <c r="P50" s="1">
        <v>5</v>
      </c>
      <c r="Q50" s="4">
        <v>15</v>
      </c>
    </row>
    <row r="51" spans="1:17" x14ac:dyDescent="0.25">
      <c r="A51" t="s">
        <v>245</v>
      </c>
      <c r="B51">
        <v>46</v>
      </c>
      <c r="C51">
        <v>12</v>
      </c>
      <c r="D51" s="3">
        <f t="shared" si="3"/>
        <v>3.3200115145802934E-2</v>
      </c>
      <c r="E51" s="2" t="str">
        <f t="shared" si="4"/>
        <v>3,4,5</v>
      </c>
      <c r="F51" s="2" t="str">
        <f t="shared" si="5"/>
        <v>15,15,15</v>
      </c>
      <c r="L51" s="1">
        <v>3</v>
      </c>
      <c r="M51" s="4">
        <v>15</v>
      </c>
      <c r="N51" s="1">
        <v>4</v>
      </c>
      <c r="O51" s="4">
        <v>15</v>
      </c>
      <c r="P51" s="1">
        <v>5</v>
      </c>
      <c r="Q51" s="4">
        <v>15</v>
      </c>
    </row>
    <row r="52" spans="1:17" x14ac:dyDescent="0.25">
      <c r="A52" t="s">
        <v>246</v>
      </c>
      <c r="B52">
        <v>47</v>
      </c>
      <c r="C52">
        <v>12</v>
      </c>
      <c r="D52" s="3">
        <f t="shared" si="3"/>
        <v>3.2536112842886877E-2</v>
      </c>
      <c r="E52" s="2" t="str">
        <f t="shared" si="4"/>
        <v>3,4,5</v>
      </c>
      <c r="F52" s="2" t="str">
        <f t="shared" si="5"/>
        <v>15,15,15</v>
      </c>
      <c r="L52" s="1">
        <v>3</v>
      </c>
      <c r="M52" s="4">
        <v>15</v>
      </c>
      <c r="N52" s="1">
        <v>4</v>
      </c>
      <c r="O52" s="4">
        <v>15</v>
      </c>
      <c r="P52" s="1">
        <v>5</v>
      </c>
      <c r="Q52" s="4">
        <v>15</v>
      </c>
    </row>
    <row r="53" spans="1:17" x14ac:dyDescent="0.25">
      <c r="A53" t="s">
        <v>247</v>
      </c>
      <c r="B53">
        <v>48</v>
      </c>
      <c r="C53">
        <v>12</v>
      </c>
      <c r="D53" s="3">
        <f t="shared" si="3"/>
        <v>3.1885390586029141E-2</v>
      </c>
      <c r="E53" s="2" t="str">
        <f t="shared" si="4"/>
        <v>3,4,5</v>
      </c>
      <c r="F53" s="2" t="str">
        <f t="shared" si="5"/>
        <v>15,15,15</v>
      </c>
      <c r="L53" s="1">
        <v>3</v>
      </c>
      <c r="M53" s="4">
        <v>15</v>
      </c>
      <c r="N53" s="1">
        <v>4</v>
      </c>
      <c r="O53" s="4">
        <v>15</v>
      </c>
      <c r="P53" s="1">
        <v>5</v>
      </c>
      <c r="Q53" s="4">
        <v>15</v>
      </c>
    </row>
    <row r="54" spans="1:17" x14ac:dyDescent="0.25">
      <c r="A54" t="s">
        <v>248</v>
      </c>
      <c r="B54">
        <v>49</v>
      </c>
      <c r="C54">
        <v>12</v>
      </c>
      <c r="D54" s="3">
        <f t="shared" si="3"/>
        <v>3.1247682774308557E-2</v>
      </c>
      <c r="E54" s="2" t="str">
        <f t="shared" si="4"/>
        <v>3,4,5</v>
      </c>
      <c r="F54" s="2" t="str">
        <f t="shared" si="5"/>
        <v>15,15,15</v>
      </c>
      <c r="L54" s="1">
        <v>3</v>
      </c>
      <c r="M54" s="4">
        <v>15</v>
      </c>
      <c r="N54" s="1">
        <v>4</v>
      </c>
      <c r="O54" s="4">
        <v>15</v>
      </c>
      <c r="P54" s="1">
        <v>5</v>
      </c>
      <c r="Q54" s="4">
        <v>15</v>
      </c>
    </row>
    <row r="55" spans="1:17" x14ac:dyDescent="0.25">
      <c r="A55" t="s">
        <v>249</v>
      </c>
      <c r="B55">
        <v>50</v>
      </c>
      <c r="C55">
        <v>12</v>
      </c>
      <c r="D55" s="3">
        <f t="shared" si="3"/>
        <v>3.0622729118822384E-2</v>
      </c>
      <c r="E55" s="2" t="str">
        <f t="shared" si="4"/>
        <v>3,4,5</v>
      </c>
      <c r="F55" s="2" t="str">
        <f t="shared" si="5"/>
        <v>15,15,15</v>
      </c>
      <c r="L55" s="1">
        <v>3</v>
      </c>
      <c r="M55" s="4">
        <v>15</v>
      </c>
      <c r="N55" s="1">
        <v>4</v>
      </c>
      <c r="O55" s="4">
        <v>15</v>
      </c>
      <c r="P55" s="1">
        <v>5</v>
      </c>
      <c r="Q55" s="4">
        <v>15</v>
      </c>
    </row>
    <row r="56" spans="1:17" x14ac:dyDescent="0.25">
      <c r="A56" t="s">
        <v>250</v>
      </c>
      <c r="B56">
        <v>51</v>
      </c>
      <c r="C56">
        <v>12</v>
      </c>
      <c r="D56" s="3">
        <f t="shared" si="3"/>
        <v>3.0010274536445936E-2</v>
      </c>
      <c r="E56" s="2" t="str">
        <f t="shared" si="4"/>
        <v>3,4,5</v>
      </c>
      <c r="F56" s="2" t="str">
        <f t="shared" si="5"/>
        <v>15,15,15</v>
      </c>
      <c r="L56" s="1">
        <v>3</v>
      </c>
      <c r="M56" s="4">
        <v>15</v>
      </c>
      <c r="N56" s="1">
        <v>4</v>
      </c>
      <c r="O56" s="4">
        <v>15</v>
      </c>
      <c r="P56" s="1">
        <v>5</v>
      </c>
      <c r="Q56" s="4">
        <v>15</v>
      </c>
    </row>
    <row r="57" spans="1:17" x14ac:dyDescent="0.25">
      <c r="A57" t="s">
        <v>251</v>
      </c>
      <c r="B57">
        <v>52</v>
      </c>
      <c r="C57">
        <v>12</v>
      </c>
      <c r="D57" s="3">
        <f t="shared" si="3"/>
        <v>2.9410069045717017E-2</v>
      </c>
      <c r="E57" s="2" t="str">
        <f t="shared" si="4"/>
        <v>3,4,5</v>
      </c>
      <c r="F57" s="2" t="str">
        <f t="shared" si="5"/>
        <v>15,15,15</v>
      </c>
      <c r="L57" s="1">
        <v>3</v>
      </c>
      <c r="M57" s="4">
        <v>15</v>
      </c>
      <c r="N57" s="1">
        <v>4</v>
      </c>
      <c r="O57" s="4">
        <v>15</v>
      </c>
      <c r="P57" s="1">
        <v>5</v>
      </c>
      <c r="Q57" s="4">
        <v>15</v>
      </c>
    </row>
    <row r="58" spans="1:17" x14ac:dyDescent="0.25">
      <c r="A58" t="s">
        <v>252</v>
      </c>
      <c r="B58">
        <v>53</v>
      </c>
      <c r="C58">
        <v>12</v>
      </c>
      <c r="D58" s="3">
        <f t="shared" si="3"/>
        <v>2.8821867664802676E-2</v>
      </c>
      <c r="E58" s="2" t="str">
        <f t="shared" si="4"/>
        <v>3,4,5</v>
      </c>
      <c r="F58" s="2" t="str">
        <f t="shared" si="5"/>
        <v>15,15,15</v>
      </c>
      <c r="L58" s="1">
        <v>3</v>
      </c>
      <c r="M58" s="4">
        <v>15</v>
      </c>
      <c r="N58" s="1">
        <v>4</v>
      </c>
      <c r="O58" s="4">
        <v>15</v>
      </c>
      <c r="P58" s="1">
        <v>5</v>
      </c>
      <c r="Q58" s="4">
        <v>15</v>
      </c>
    </row>
    <row r="59" spans="1:17" x14ac:dyDescent="0.25">
      <c r="A59" t="s">
        <v>253</v>
      </c>
      <c r="B59">
        <v>54</v>
      </c>
      <c r="C59">
        <v>12</v>
      </c>
      <c r="D59" s="3">
        <f t="shared" si="3"/>
        <v>2.8245430311506621E-2</v>
      </c>
      <c r="E59" s="2" t="str">
        <f t="shared" si="4"/>
        <v>3,4,5</v>
      </c>
      <c r="F59" s="2" t="str">
        <f t="shared" si="5"/>
        <v>15,15,15</v>
      </c>
      <c r="L59" s="1">
        <v>3</v>
      </c>
      <c r="M59" s="4">
        <v>15</v>
      </c>
      <c r="N59" s="1">
        <v>4</v>
      </c>
      <c r="O59" s="4">
        <v>15</v>
      </c>
      <c r="P59" s="1">
        <v>5</v>
      </c>
      <c r="Q59" s="4">
        <v>15</v>
      </c>
    </row>
    <row r="60" spans="1:17" x14ac:dyDescent="0.25">
      <c r="A60" t="s">
        <v>254</v>
      </c>
      <c r="B60">
        <v>55</v>
      </c>
      <c r="C60">
        <v>12</v>
      </c>
      <c r="D60" s="3">
        <f t="shared" si="3"/>
        <v>2.768052170527649E-2</v>
      </c>
      <c r="E60" s="2" t="str">
        <f t="shared" si="4"/>
        <v>3,4,5</v>
      </c>
      <c r="F60" s="2" t="str">
        <f t="shared" si="5"/>
        <v>15,15,15</v>
      </c>
      <c r="L60" s="1">
        <v>3</v>
      </c>
      <c r="M60" s="4">
        <v>15</v>
      </c>
      <c r="N60" s="1">
        <v>4</v>
      </c>
      <c r="O60" s="4">
        <v>15</v>
      </c>
      <c r="P60" s="1">
        <v>5</v>
      </c>
      <c r="Q60" s="4">
        <v>15</v>
      </c>
    </row>
    <row r="61" spans="1:17" x14ac:dyDescent="0.25">
      <c r="A61" t="s">
        <v>255</v>
      </c>
      <c r="B61">
        <v>56</v>
      </c>
      <c r="C61">
        <v>12</v>
      </c>
      <c r="D61" s="3">
        <f t="shared" si="3"/>
        <v>2.7126911271170961E-2</v>
      </c>
      <c r="E61" s="2" t="str">
        <f t="shared" si="4"/>
        <v>3,4,5</v>
      </c>
      <c r="F61" s="2" t="str">
        <f t="shared" si="5"/>
        <v>15,15,15</v>
      </c>
      <c r="L61" s="1">
        <v>3</v>
      </c>
      <c r="M61" s="4">
        <v>15</v>
      </c>
      <c r="N61" s="1">
        <v>4</v>
      </c>
      <c r="O61" s="4">
        <v>15</v>
      </c>
      <c r="P61" s="1">
        <v>5</v>
      </c>
      <c r="Q61" s="4">
        <v>15</v>
      </c>
    </row>
    <row r="62" spans="1:17" x14ac:dyDescent="0.25">
      <c r="A62" t="s">
        <v>256</v>
      </c>
      <c r="B62">
        <v>57</v>
      </c>
      <c r="C62">
        <v>12</v>
      </c>
      <c r="D62" s="3">
        <f t="shared" si="3"/>
        <v>2.6584373045747543E-2</v>
      </c>
      <c r="E62" s="2" t="str">
        <f t="shared" si="4"/>
        <v>3,4,5</v>
      </c>
      <c r="F62" s="2" t="str">
        <f t="shared" si="5"/>
        <v>15,15,15</v>
      </c>
      <c r="L62" s="1">
        <v>3</v>
      </c>
      <c r="M62" s="4">
        <v>15</v>
      </c>
      <c r="N62" s="1">
        <v>4</v>
      </c>
      <c r="O62" s="4">
        <v>15</v>
      </c>
      <c r="P62" s="1">
        <v>5</v>
      </c>
      <c r="Q62" s="4">
        <v>15</v>
      </c>
    </row>
    <row r="63" spans="1:17" x14ac:dyDescent="0.25">
      <c r="A63" t="s">
        <v>194</v>
      </c>
      <c r="B63">
        <v>58</v>
      </c>
      <c r="C63">
        <v>12</v>
      </c>
      <c r="D63" s="3">
        <f t="shared" si="3"/>
        <v>2.6052685584832591E-2</v>
      </c>
      <c r="E63" s="2" t="str">
        <f t="shared" si="4"/>
        <v>3,4,5</v>
      </c>
      <c r="F63" s="2" t="str">
        <f t="shared" si="5"/>
        <v>15,15,15</v>
      </c>
      <c r="L63" s="1">
        <v>3</v>
      </c>
      <c r="M63" s="4">
        <v>15</v>
      </c>
      <c r="N63" s="1">
        <v>4</v>
      </c>
      <c r="O63" s="4">
        <v>15</v>
      </c>
      <c r="P63" s="1">
        <v>5</v>
      </c>
      <c r="Q63" s="4">
        <v>15</v>
      </c>
    </row>
    <row r="64" spans="1:17" x14ac:dyDescent="0.25">
      <c r="A64" t="s">
        <v>257</v>
      </c>
      <c r="B64">
        <v>59</v>
      </c>
      <c r="C64">
        <v>12</v>
      </c>
      <c r="D64" s="3">
        <f t="shared" si="3"/>
        <v>2.5531631873135938E-2</v>
      </c>
      <c r="E64" s="2" t="str">
        <f t="shared" si="4"/>
        <v>3,4,5</v>
      </c>
      <c r="F64" s="2" t="str">
        <f t="shared" si="5"/>
        <v>15,15,15</v>
      </c>
      <c r="L64" s="1">
        <v>3</v>
      </c>
      <c r="M64" s="4">
        <v>15</v>
      </c>
      <c r="N64" s="1">
        <v>4</v>
      </c>
      <c r="O64" s="4">
        <v>15</v>
      </c>
      <c r="P64" s="1">
        <v>5</v>
      </c>
      <c r="Q64" s="4">
        <v>15</v>
      </c>
    </row>
    <row r="65" spans="1:17" x14ac:dyDescent="0.25">
      <c r="A65" t="s">
        <v>258</v>
      </c>
      <c r="B65">
        <v>60</v>
      </c>
      <c r="C65">
        <v>12</v>
      </c>
      <c r="D65" s="3">
        <f t="shared" si="3"/>
        <v>2.5020999235673219E-2</v>
      </c>
      <c r="E65" s="2" t="str">
        <f t="shared" si="4"/>
        <v>3,4,5</v>
      </c>
      <c r="F65" s="2" t="str">
        <f t="shared" si="5"/>
        <v>15,15,15</v>
      </c>
      <c r="L65" s="1">
        <v>3</v>
      </c>
      <c r="M65" s="4">
        <v>15</v>
      </c>
      <c r="N65" s="1">
        <v>4</v>
      </c>
      <c r="O65" s="4">
        <v>15</v>
      </c>
      <c r="P65" s="1">
        <v>5</v>
      </c>
      <c r="Q65" s="4">
        <v>15</v>
      </c>
    </row>
    <row r="66" spans="1:17" x14ac:dyDescent="0.25">
      <c r="A66" t="s">
        <v>259</v>
      </c>
      <c r="B66">
        <v>61</v>
      </c>
      <c r="C66">
        <v>12</v>
      </c>
      <c r="D66" s="3">
        <f t="shared" si="3"/>
        <v>2.4520579250959754E-2</v>
      </c>
      <c r="E66" s="2" t="str">
        <f t="shared" si="4"/>
        <v>3,4,5</v>
      </c>
      <c r="F66" s="2" t="str">
        <f t="shared" si="5"/>
        <v>15,15,15</v>
      </c>
      <c r="L66" s="1">
        <v>3</v>
      </c>
      <c r="M66" s="4">
        <v>15</v>
      </c>
      <c r="N66" s="1">
        <v>4</v>
      </c>
      <c r="O66" s="4">
        <v>15</v>
      </c>
      <c r="P66" s="1">
        <v>5</v>
      </c>
      <c r="Q66" s="4">
        <v>15</v>
      </c>
    </row>
    <row r="67" spans="1:17" x14ac:dyDescent="0.25">
      <c r="A67" t="s">
        <v>260</v>
      </c>
      <c r="B67">
        <v>62</v>
      </c>
      <c r="C67">
        <v>12</v>
      </c>
      <c r="D67" s="3">
        <f t="shared" si="3"/>
        <v>2.4030167665940558E-2</v>
      </c>
      <c r="E67" s="2" t="str">
        <f t="shared" si="4"/>
        <v>3,4,5</v>
      </c>
      <c r="F67" s="2" t="str">
        <f t="shared" si="5"/>
        <v>15,15,15</v>
      </c>
      <c r="L67" s="1">
        <v>3</v>
      </c>
      <c r="M67" s="4">
        <v>15</v>
      </c>
      <c r="N67" s="1">
        <v>4</v>
      </c>
      <c r="O67" s="4">
        <v>15</v>
      </c>
      <c r="P67" s="1">
        <v>5</v>
      </c>
      <c r="Q67" s="4">
        <v>15</v>
      </c>
    </row>
    <row r="68" spans="1:17" x14ac:dyDescent="0.25">
      <c r="A68" t="s">
        <v>261</v>
      </c>
      <c r="B68">
        <v>63</v>
      </c>
      <c r="C68">
        <v>12</v>
      </c>
      <c r="D68" s="3">
        <f t="shared" si="3"/>
        <v>2.3549564312621746E-2</v>
      </c>
      <c r="E68" s="2" t="str">
        <f t="shared" si="4"/>
        <v>3,4,5</v>
      </c>
      <c r="F68" s="2" t="str">
        <f t="shared" si="5"/>
        <v>15,15,15</v>
      </c>
      <c r="L68" s="1">
        <v>3</v>
      </c>
      <c r="M68" s="4">
        <v>15</v>
      </c>
      <c r="N68" s="1">
        <v>4</v>
      </c>
      <c r="O68" s="4">
        <v>15</v>
      </c>
      <c r="P68" s="1">
        <v>5</v>
      </c>
      <c r="Q68" s="4">
        <v>15</v>
      </c>
    </row>
    <row r="69" spans="1:17" x14ac:dyDescent="0.25">
      <c r="A69" t="s">
        <v>262</v>
      </c>
      <c r="B69">
        <v>64</v>
      </c>
      <c r="C69">
        <v>12</v>
      </c>
      <c r="D69" s="3">
        <f t="shared" si="3"/>
        <v>2.3078573026369311E-2</v>
      </c>
      <c r="E69" s="2" t="str">
        <f t="shared" si="4"/>
        <v>3,4,5</v>
      </c>
      <c r="F69" s="2" t="str">
        <f t="shared" si="5"/>
        <v>15,15,15</v>
      </c>
      <c r="L69" s="1">
        <v>3</v>
      </c>
      <c r="M69" s="4">
        <v>15</v>
      </c>
      <c r="N69" s="1">
        <v>4</v>
      </c>
      <c r="O69" s="4">
        <v>15</v>
      </c>
      <c r="P69" s="1">
        <v>5</v>
      </c>
      <c r="Q69" s="4">
        <v>15</v>
      </c>
    </row>
    <row r="70" spans="1:17" x14ac:dyDescent="0.25">
      <c r="A70" t="s">
        <v>263</v>
      </c>
      <c r="B70">
        <v>65</v>
      </c>
      <c r="C70">
        <v>12</v>
      </c>
      <c r="D70" s="3">
        <f t="shared" si="3"/>
        <v>2.2617001565841923E-2</v>
      </c>
      <c r="E70" s="2" t="str">
        <f t="shared" si="4"/>
        <v>3,4,5</v>
      </c>
      <c r="F70" s="2" t="str">
        <f t="shared" si="5"/>
        <v>15,15,15</v>
      </c>
      <c r="L70" s="1">
        <v>3</v>
      </c>
      <c r="M70" s="4">
        <v>15</v>
      </c>
      <c r="N70" s="1">
        <v>4</v>
      </c>
      <c r="O70" s="4">
        <v>15</v>
      </c>
      <c r="P70" s="1">
        <v>5</v>
      </c>
      <c r="Q70" s="4">
        <v>15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Waves">
                <anchor moveWithCells="1" sizeWithCells="1">
                  <from>
                    <xdr:col>3</xdr:col>
                    <xdr:colOff>9525</xdr:colOff>
                    <xdr:row>0</xdr:row>
                    <xdr:rowOff>152400</xdr:rowOff>
                  </from>
                  <to>
                    <xdr:col>4</xdr:col>
                    <xdr:colOff>190500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65E02-84CC-4BFD-9176-4A1A6CBB947A}">
  <sheetPr codeName="Sheet4"/>
  <dimension ref="A2:H14"/>
  <sheetViews>
    <sheetView tabSelected="1" workbookViewId="0">
      <selection activeCell="B3" sqref="B3"/>
    </sheetView>
  </sheetViews>
  <sheetFormatPr defaultRowHeight="15" x14ac:dyDescent="0.25"/>
  <cols>
    <col min="1" max="1" width="11.140625" customWidth="1"/>
    <col min="2" max="2" width="13.140625" customWidth="1"/>
    <col min="3" max="3" width="47" customWidth="1"/>
  </cols>
  <sheetData>
    <row r="2" spans="1:8" x14ac:dyDescent="0.25">
      <c r="A2" s="1" t="s">
        <v>177</v>
      </c>
      <c r="B2" s="1" t="s">
        <v>332</v>
      </c>
    </row>
    <row r="3" spans="1:8" x14ac:dyDescent="0.25">
      <c r="G3" s="1"/>
      <c r="H3" s="1"/>
    </row>
    <row r="4" spans="1:8" x14ac:dyDescent="0.25">
      <c r="A4" t="s">
        <v>1</v>
      </c>
      <c r="B4" t="s">
        <v>0</v>
      </c>
      <c r="C4" t="s">
        <v>38</v>
      </c>
    </row>
    <row r="5" spans="1:8" x14ac:dyDescent="0.25">
      <c r="A5">
        <v>1</v>
      </c>
      <c r="B5" t="s">
        <v>39</v>
      </c>
      <c r="C5" t="s">
        <v>323</v>
      </c>
    </row>
    <row r="6" spans="1:8" x14ac:dyDescent="0.25">
      <c r="A6">
        <v>2</v>
      </c>
      <c r="B6" t="s">
        <v>40</v>
      </c>
      <c r="C6" t="s">
        <v>324</v>
      </c>
    </row>
    <row r="7" spans="1:8" x14ac:dyDescent="0.25">
      <c r="A7">
        <v>3</v>
      </c>
      <c r="B7" t="s">
        <v>41</v>
      </c>
      <c r="C7" t="s">
        <v>325</v>
      </c>
    </row>
    <row r="8" spans="1:8" x14ac:dyDescent="0.25">
      <c r="A8">
        <v>4</v>
      </c>
      <c r="B8" t="s">
        <v>43</v>
      </c>
      <c r="C8" t="s">
        <v>326</v>
      </c>
    </row>
    <row r="9" spans="1:8" x14ac:dyDescent="0.25">
      <c r="A9">
        <v>5</v>
      </c>
      <c r="B9" t="s">
        <v>42</v>
      </c>
      <c r="C9" t="s">
        <v>327</v>
      </c>
    </row>
    <row r="10" spans="1:8" x14ac:dyDescent="0.25">
      <c r="A10">
        <v>6</v>
      </c>
      <c r="B10" t="s">
        <v>106</v>
      </c>
      <c r="C10" t="s">
        <v>328</v>
      </c>
    </row>
    <row r="11" spans="1:8" x14ac:dyDescent="0.25">
      <c r="A11">
        <v>7</v>
      </c>
      <c r="B11" t="s">
        <v>107</v>
      </c>
      <c r="C11" t="s">
        <v>329</v>
      </c>
    </row>
    <row r="12" spans="1:8" x14ac:dyDescent="0.25">
      <c r="A12">
        <v>8</v>
      </c>
      <c r="B12" t="s">
        <v>269</v>
      </c>
      <c r="C12" t="s">
        <v>330</v>
      </c>
    </row>
    <row r="13" spans="1:8" x14ac:dyDescent="0.25">
      <c r="A13">
        <v>9</v>
      </c>
      <c r="B13" t="s">
        <v>301</v>
      </c>
      <c r="C13" t="s">
        <v>331</v>
      </c>
    </row>
    <row r="14" spans="1:8" x14ac:dyDescent="0.25">
      <c r="A14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Bullets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1085850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16E3-7BF8-4C7F-B5A2-43AEF96E7CA3}">
  <sheetPr codeName="Sheet5"/>
  <dimension ref="A2:H23"/>
  <sheetViews>
    <sheetView workbookViewId="0">
      <selection activeCell="A9" sqref="A9"/>
    </sheetView>
  </sheetViews>
  <sheetFormatPr defaultRowHeight="15" x14ac:dyDescent="0.25"/>
  <cols>
    <col min="1" max="1" width="14.140625" customWidth="1"/>
    <col min="2" max="2" width="12.42578125" customWidth="1"/>
    <col min="3" max="3" width="51.28515625" customWidth="1"/>
    <col min="4" max="4" width="11" customWidth="1"/>
    <col min="6" max="6" width="11.85546875" bestFit="1" customWidth="1"/>
  </cols>
  <sheetData>
    <row r="2" spans="1:8" x14ac:dyDescent="0.25">
      <c r="A2" s="1" t="s">
        <v>177</v>
      </c>
      <c r="B2" s="1" t="s">
        <v>315</v>
      </c>
    </row>
    <row r="4" spans="1:8" ht="32.25" customHeight="1" x14ac:dyDescent="0.25">
      <c r="A4" s="72" t="s">
        <v>1</v>
      </c>
      <c r="B4" s="72" t="s">
        <v>61</v>
      </c>
      <c r="C4" s="72" t="s">
        <v>63</v>
      </c>
      <c r="D4" s="72" t="s">
        <v>213</v>
      </c>
      <c r="E4" s="72" t="s">
        <v>214</v>
      </c>
      <c r="F4" s="72" t="s">
        <v>215</v>
      </c>
      <c r="G4" s="73" t="s">
        <v>216</v>
      </c>
      <c r="H4" s="73" t="s">
        <v>217</v>
      </c>
    </row>
    <row r="5" spans="1:8" x14ac:dyDescent="0.25">
      <c r="A5" s="13" t="s">
        <v>65</v>
      </c>
      <c r="B5" s="13" t="s">
        <v>62</v>
      </c>
      <c r="C5" s="13" t="s">
        <v>199</v>
      </c>
      <c r="D5" s="13">
        <v>4</v>
      </c>
      <c r="E5" s="13">
        <v>36</v>
      </c>
      <c r="F5" s="13">
        <v>4</v>
      </c>
      <c r="G5" s="74">
        <v>50</v>
      </c>
      <c r="H5" s="74">
        <v>4</v>
      </c>
    </row>
    <row r="6" spans="1:8" x14ac:dyDescent="0.25">
      <c r="A6" s="13" t="s">
        <v>64</v>
      </c>
      <c r="B6" s="13" t="s">
        <v>62</v>
      </c>
      <c r="C6" s="13" t="s">
        <v>200</v>
      </c>
      <c r="D6" s="13">
        <v>3</v>
      </c>
      <c r="E6" s="13">
        <v>46</v>
      </c>
      <c r="F6" s="13">
        <v>4</v>
      </c>
      <c r="G6" s="74">
        <v>50</v>
      </c>
      <c r="H6" s="74">
        <v>4</v>
      </c>
    </row>
    <row r="7" spans="1:8" x14ac:dyDescent="0.25">
      <c r="A7" s="13" t="s">
        <v>66</v>
      </c>
      <c r="B7" s="13" t="s">
        <v>62</v>
      </c>
      <c r="C7" s="13" t="s">
        <v>201</v>
      </c>
      <c r="D7" s="13">
        <v>6</v>
      </c>
      <c r="E7" s="13">
        <v>50</v>
      </c>
      <c r="F7" s="13">
        <v>4</v>
      </c>
      <c r="G7" s="74">
        <v>50</v>
      </c>
      <c r="H7" s="74">
        <v>4</v>
      </c>
    </row>
    <row r="8" spans="1:8" x14ac:dyDescent="0.25">
      <c r="A8" s="13" t="s">
        <v>67</v>
      </c>
      <c r="B8" s="13" t="s">
        <v>62</v>
      </c>
      <c r="C8" s="13" t="s">
        <v>202</v>
      </c>
      <c r="D8" s="13">
        <v>2</v>
      </c>
      <c r="E8" s="13">
        <v>50</v>
      </c>
      <c r="F8" s="13">
        <v>4</v>
      </c>
      <c r="G8" s="74">
        <v>50</v>
      </c>
      <c r="H8" s="74">
        <v>4</v>
      </c>
    </row>
    <row r="9" spans="1:8" x14ac:dyDescent="0.25">
      <c r="A9" s="13" t="s">
        <v>68</v>
      </c>
      <c r="B9" s="13" t="s">
        <v>62</v>
      </c>
      <c r="C9" s="13" t="s">
        <v>203</v>
      </c>
      <c r="D9" s="13">
        <v>1</v>
      </c>
      <c r="E9" s="13">
        <v>6</v>
      </c>
      <c r="F9" s="13">
        <v>2</v>
      </c>
      <c r="G9" s="74">
        <v>50</v>
      </c>
      <c r="H9" s="74">
        <v>4</v>
      </c>
    </row>
    <row r="10" spans="1:8" x14ac:dyDescent="0.25">
      <c r="A10" s="13" t="s">
        <v>69</v>
      </c>
      <c r="B10" s="13" t="s">
        <v>62</v>
      </c>
      <c r="C10" s="13" t="s">
        <v>204</v>
      </c>
      <c r="D10" s="13">
        <v>1</v>
      </c>
      <c r="E10" s="13">
        <v>6</v>
      </c>
      <c r="F10" s="13">
        <v>2</v>
      </c>
      <c r="G10" s="74">
        <v>50</v>
      </c>
      <c r="H10" s="74">
        <v>4</v>
      </c>
    </row>
    <row r="11" spans="1:8" x14ac:dyDescent="0.25">
      <c r="A11" s="13" t="s">
        <v>70</v>
      </c>
      <c r="B11" s="13" t="s">
        <v>62</v>
      </c>
      <c r="C11" s="13" t="s">
        <v>205</v>
      </c>
      <c r="D11" s="13">
        <v>1</v>
      </c>
      <c r="E11" s="13">
        <v>8</v>
      </c>
      <c r="F11" s="13">
        <v>2</v>
      </c>
      <c r="G11" s="74">
        <v>50</v>
      </c>
      <c r="H11" s="74">
        <v>4</v>
      </c>
    </row>
    <row r="12" spans="1:8" x14ac:dyDescent="0.25">
      <c r="A12" s="13" t="s">
        <v>71</v>
      </c>
      <c r="B12" s="13" t="s">
        <v>62</v>
      </c>
      <c r="C12" s="13" t="s">
        <v>206</v>
      </c>
      <c r="D12" s="13">
        <v>1</v>
      </c>
      <c r="E12" s="13">
        <v>6</v>
      </c>
      <c r="F12" s="13">
        <v>2</v>
      </c>
      <c r="G12" s="74">
        <v>50</v>
      </c>
      <c r="H12" s="74">
        <v>4</v>
      </c>
    </row>
    <row r="13" spans="1:8" x14ac:dyDescent="0.25">
      <c r="A13" s="13" t="s">
        <v>72</v>
      </c>
      <c r="B13" s="13" t="s">
        <v>62</v>
      </c>
      <c r="C13" s="13" t="s">
        <v>207</v>
      </c>
      <c r="D13" s="13">
        <v>1</v>
      </c>
      <c r="E13" s="13">
        <v>10</v>
      </c>
      <c r="F13" s="13">
        <v>2</v>
      </c>
      <c r="G13" s="74">
        <v>50</v>
      </c>
      <c r="H13" s="74">
        <v>4</v>
      </c>
    </row>
    <row r="14" spans="1:8" x14ac:dyDescent="0.25">
      <c r="A14" s="13" t="s">
        <v>73</v>
      </c>
      <c r="B14" s="13" t="s">
        <v>62</v>
      </c>
      <c r="C14" s="13" t="s">
        <v>208</v>
      </c>
      <c r="D14" s="13">
        <v>1</v>
      </c>
      <c r="E14" s="13">
        <v>10</v>
      </c>
      <c r="F14" s="13">
        <v>2</v>
      </c>
      <c r="G14" s="74">
        <v>50</v>
      </c>
      <c r="H14" s="74">
        <v>4</v>
      </c>
    </row>
    <row r="15" spans="1:8" x14ac:dyDescent="0.25">
      <c r="A15" s="13" t="s">
        <v>74</v>
      </c>
      <c r="B15" s="13" t="s">
        <v>62</v>
      </c>
      <c r="C15" s="13" t="s">
        <v>209</v>
      </c>
      <c r="D15" s="13">
        <v>1</v>
      </c>
      <c r="E15" s="13">
        <v>9</v>
      </c>
      <c r="F15" s="13">
        <v>2</v>
      </c>
      <c r="G15" s="74">
        <v>50</v>
      </c>
      <c r="H15" s="74">
        <v>4</v>
      </c>
    </row>
    <row r="16" spans="1:8" x14ac:dyDescent="0.25">
      <c r="A16" s="13" t="s">
        <v>75</v>
      </c>
      <c r="B16" s="13" t="s">
        <v>62</v>
      </c>
      <c r="C16" s="13" t="s">
        <v>210</v>
      </c>
      <c r="D16" s="13">
        <v>1</v>
      </c>
      <c r="E16" s="13">
        <v>9</v>
      </c>
      <c r="F16" s="13">
        <v>2</v>
      </c>
      <c r="G16" s="74">
        <v>50</v>
      </c>
      <c r="H16" s="74">
        <v>4</v>
      </c>
    </row>
    <row r="17" spans="1:8" x14ac:dyDescent="0.25">
      <c r="A17" s="13" t="s">
        <v>76</v>
      </c>
      <c r="B17" s="13" t="s">
        <v>62</v>
      </c>
      <c r="C17" s="13" t="s">
        <v>211</v>
      </c>
      <c r="D17" s="13">
        <v>1</v>
      </c>
      <c r="E17" s="13">
        <v>9</v>
      </c>
      <c r="F17" s="13">
        <v>2</v>
      </c>
      <c r="G17" s="74">
        <v>50</v>
      </c>
      <c r="H17" s="74">
        <v>4</v>
      </c>
    </row>
    <row r="18" spans="1:8" x14ac:dyDescent="0.25">
      <c r="A18" s="13" t="s">
        <v>197</v>
      </c>
      <c r="B18" s="13" t="s">
        <v>198</v>
      </c>
      <c r="C18" s="13" t="s">
        <v>212</v>
      </c>
      <c r="D18" s="13">
        <v>50</v>
      </c>
      <c r="E18" s="13">
        <v>92</v>
      </c>
      <c r="F18" s="13">
        <v>8</v>
      </c>
      <c r="G18" s="74">
        <v>50</v>
      </c>
      <c r="H18" s="74">
        <v>4</v>
      </c>
    </row>
    <row r="19" spans="1:8" x14ac:dyDescent="0.25">
      <c r="A19" s="82" t="s">
        <v>265</v>
      </c>
      <c r="B19" s="82" t="s">
        <v>198</v>
      </c>
      <c r="C19" s="13" t="s">
        <v>266</v>
      </c>
      <c r="D19" s="13">
        <v>50</v>
      </c>
      <c r="E19" s="13">
        <v>50</v>
      </c>
      <c r="F19" s="13">
        <v>8</v>
      </c>
      <c r="G19" s="74">
        <v>50</v>
      </c>
      <c r="H19" s="74">
        <v>4</v>
      </c>
    </row>
    <row r="20" spans="1:8" x14ac:dyDescent="0.25">
      <c r="A20" s="82" t="s">
        <v>267</v>
      </c>
      <c r="B20" s="82" t="s">
        <v>198</v>
      </c>
      <c r="C20" s="13" t="s">
        <v>268</v>
      </c>
      <c r="D20" s="13">
        <v>50</v>
      </c>
      <c r="E20" s="13">
        <v>50</v>
      </c>
      <c r="F20" s="13">
        <v>8</v>
      </c>
      <c r="G20" s="74">
        <v>50</v>
      </c>
      <c r="H20" s="74">
        <v>4</v>
      </c>
    </row>
    <row r="21" spans="1:8" x14ac:dyDescent="0.25">
      <c r="A21" s="82" t="s">
        <v>304</v>
      </c>
      <c r="B21" s="82" t="s">
        <v>198</v>
      </c>
      <c r="C21" s="13" t="s">
        <v>305</v>
      </c>
      <c r="D21" s="13">
        <v>48</v>
      </c>
      <c r="E21" s="13">
        <v>48</v>
      </c>
      <c r="F21" s="13">
        <v>8</v>
      </c>
      <c r="G21" s="74">
        <v>50</v>
      </c>
      <c r="H21" s="74">
        <v>4</v>
      </c>
    </row>
    <row r="22" spans="1:8" x14ac:dyDescent="0.25">
      <c r="A22" s="82" t="s">
        <v>311</v>
      </c>
      <c r="B22" s="82" t="s">
        <v>198</v>
      </c>
      <c r="C22" s="13" t="s">
        <v>312</v>
      </c>
      <c r="D22" s="13">
        <v>256</v>
      </c>
      <c r="E22" s="13">
        <v>256</v>
      </c>
      <c r="F22" s="13">
        <v>25</v>
      </c>
      <c r="G22" s="74">
        <v>50</v>
      </c>
      <c r="H22" s="74">
        <v>4</v>
      </c>
    </row>
    <row r="23" spans="1:8" x14ac:dyDescent="0.25">
      <c r="A23" s="82" t="s">
        <v>314</v>
      </c>
      <c r="B23" s="82" t="s">
        <v>198</v>
      </c>
      <c r="C23" s="13" t="s">
        <v>313</v>
      </c>
      <c r="D23" s="13">
        <v>128</v>
      </c>
      <c r="E23" s="13">
        <v>128</v>
      </c>
      <c r="F23" s="13">
        <v>30</v>
      </c>
      <c r="G23" s="74">
        <v>50</v>
      </c>
      <c r="H23" s="74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Animations">
                <anchor moveWithCells="1" sizeWithCells="1">
                  <from>
                    <xdr:col>2</xdr:col>
                    <xdr:colOff>47625</xdr:colOff>
                    <xdr:row>0</xdr:row>
                    <xdr:rowOff>152400</xdr:rowOff>
                  </from>
                  <to>
                    <xdr:col>2</xdr:col>
                    <xdr:colOff>1076325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E28F-7B83-4914-9F9E-6503981E8F54}">
  <sheetPr codeName="Sheet6"/>
  <dimension ref="A2:B20"/>
  <sheetViews>
    <sheetView workbookViewId="0">
      <selection activeCell="A5" sqref="A5:A8"/>
    </sheetView>
  </sheetViews>
  <sheetFormatPr defaultRowHeight="15" x14ac:dyDescent="0.25"/>
  <cols>
    <col min="1" max="1" width="19.85546875" customWidth="1"/>
    <col min="2" max="2" width="41.140625" customWidth="1"/>
  </cols>
  <sheetData>
    <row r="2" spans="1:2" x14ac:dyDescent="0.25">
      <c r="A2" s="1" t="s">
        <v>177</v>
      </c>
      <c r="B2" s="1" t="s">
        <v>299</v>
      </c>
    </row>
    <row r="4" spans="1:2" x14ac:dyDescent="0.25">
      <c r="A4" s="72" t="s">
        <v>1</v>
      </c>
      <c r="B4" s="72" t="s">
        <v>38</v>
      </c>
    </row>
    <row r="5" spans="1:2" x14ac:dyDescent="0.25">
      <c r="A5" s="13" t="s">
        <v>291</v>
      </c>
      <c r="B5" s="13" t="s">
        <v>295</v>
      </c>
    </row>
    <row r="6" spans="1:2" x14ac:dyDescent="0.25">
      <c r="A6" s="13" t="s">
        <v>292</v>
      </c>
      <c r="B6" s="13" t="s">
        <v>296</v>
      </c>
    </row>
    <row r="7" spans="1:2" x14ac:dyDescent="0.25">
      <c r="A7" s="13" t="s">
        <v>293</v>
      </c>
      <c r="B7" s="13" t="s">
        <v>297</v>
      </c>
    </row>
    <row r="8" spans="1:2" x14ac:dyDescent="0.25">
      <c r="A8" s="13" t="s">
        <v>294</v>
      </c>
      <c r="B8" s="13" t="s">
        <v>298</v>
      </c>
    </row>
    <row r="9" spans="1:2" x14ac:dyDescent="0.25">
      <c r="A9" s="13"/>
      <c r="B9" s="13"/>
    </row>
    <row r="10" spans="1:2" x14ac:dyDescent="0.25">
      <c r="A10" s="13"/>
      <c r="B10" s="13"/>
    </row>
    <row r="11" spans="1:2" x14ac:dyDescent="0.25">
      <c r="A11" s="13"/>
      <c r="B11" s="13"/>
    </row>
    <row r="12" spans="1:2" x14ac:dyDescent="0.25">
      <c r="A12" s="13"/>
      <c r="B12" s="13"/>
    </row>
    <row r="13" spans="1:2" x14ac:dyDescent="0.25">
      <c r="A13" s="13"/>
      <c r="B13" s="13"/>
    </row>
    <row r="14" spans="1:2" x14ac:dyDescent="0.25">
      <c r="A14" s="13"/>
      <c r="B14" s="13"/>
    </row>
    <row r="15" spans="1:2" x14ac:dyDescent="0.25">
      <c r="A15" s="13"/>
      <c r="B15" s="13"/>
    </row>
    <row r="16" spans="1:2" x14ac:dyDescent="0.25">
      <c r="A16" s="13"/>
      <c r="B16" s="13"/>
    </row>
    <row r="17" spans="1:2" x14ac:dyDescent="0.25">
      <c r="A17" s="13"/>
      <c r="B17" s="13"/>
    </row>
    <row r="18" spans="1:2" x14ac:dyDescent="0.25">
      <c r="A18" s="13"/>
      <c r="B18" s="13"/>
    </row>
    <row r="19" spans="1:2" x14ac:dyDescent="0.25">
      <c r="A19" s="82"/>
      <c r="B19" s="82"/>
    </row>
    <row r="20" spans="1:2" x14ac:dyDescent="0.25">
      <c r="A20" s="82"/>
      <c r="B20" s="8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Shaders">
                <anchor moveWithCells="1" sizeWithCells="1">
                  <from>
                    <xdr:col>2</xdr:col>
                    <xdr:colOff>161925</xdr:colOff>
                    <xdr:row>0</xdr:row>
                    <xdr:rowOff>171450</xdr:rowOff>
                  </from>
                  <to>
                    <xdr:col>3</xdr:col>
                    <xdr:colOff>581025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towers</vt:lpstr>
      <vt:lpstr>mobs</vt:lpstr>
      <vt:lpstr>waves</vt:lpstr>
      <vt:lpstr>bullets</vt:lpstr>
      <vt:lpstr>animations</vt:lpstr>
      <vt:lpstr>shaders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Remi Lanza</dc:creator>
  <cp:lastModifiedBy>Remi Lanza</cp:lastModifiedBy>
  <dcterms:created xsi:type="dcterms:W3CDTF">2019-04-21T21:08:54Z</dcterms:created>
  <dcterms:modified xsi:type="dcterms:W3CDTF">2020-09-06T17:02:52Z</dcterms:modified>
</cp:coreProperties>
</file>