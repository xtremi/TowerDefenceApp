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GK\AGK_libraries\apps\Test_app_tower_defence\Test_app\src\main\data_input_files\"/>
    </mc:Choice>
  </mc:AlternateContent>
  <xr:revisionPtr revIDLastSave="0" documentId="13_ncr:1_{F3AA5055-4E64-42A2-977C-3F0260626415}" xr6:coauthVersionLast="36" xr6:coauthVersionMax="36" xr10:uidLastSave="{00000000-0000-0000-0000-000000000000}"/>
  <bookViews>
    <workbookView xWindow="0" yWindow="0" windowWidth="21570" windowHeight="7980" xr2:uid="{F80896C4-579A-4CB2-9F3C-9634C19A8189}"/>
  </bookViews>
  <sheets>
    <sheet name="towers" sheetId="1" r:id="rId1"/>
    <sheet name="mobs" sheetId="2" r:id="rId2"/>
    <sheet name="waves" sheetId="3" r:id="rId3"/>
    <sheet name="bullets" sheetId="4" r:id="rId4"/>
    <sheet name="animations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15" i="1" l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K15" i="1"/>
  <c r="K16" i="1" s="1"/>
  <c r="K17" i="1" s="1"/>
  <c r="K18" i="1" s="1"/>
  <c r="K19" i="1" s="1"/>
  <c r="K20" i="1" s="1"/>
  <c r="K21" i="1" s="1"/>
  <c r="K22" i="1" s="1"/>
  <c r="K23" i="1" s="1"/>
  <c r="K24" i="1" s="1"/>
  <c r="K25" i="1" s="1"/>
  <c r="K26" i="1" s="1"/>
  <c r="K2" i="1"/>
  <c r="K3" i="1" s="1"/>
  <c r="K4" i="1" s="1"/>
  <c r="K5" i="1" s="1"/>
  <c r="K6" i="1" s="1"/>
  <c r="K7" i="1" s="1"/>
  <c r="K8" i="1" s="1"/>
  <c r="K9" i="1" s="1"/>
  <c r="K10" i="1" s="1"/>
  <c r="K11" i="1" s="1"/>
  <c r="K12" i="1" s="1"/>
  <c r="K13" i="1" s="1"/>
  <c r="K14" i="1" s="1"/>
  <c r="G3" i="2"/>
  <c r="G6" i="2"/>
  <c r="G5" i="2"/>
  <c r="E3" i="3"/>
  <c r="F3" i="3"/>
  <c r="E4" i="3"/>
  <c r="F4" i="3"/>
  <c r="E5" i="3"/>
  <c r="F5" i="3"/>
  <c r="E6" i="3"/>
  <c r="F6" i="3"/>
  <c r="E7" i="3"/>
  <c r="F7" i="3"/>
  <c r="E8" i="3"/>
  <c r="F8" i="3"/>
  <c r="E9" i="3"/>
  <c r="F9" i="3"/>
  <c r="E10" i="3"/>
  <c r="F10" i="3"/>
  <c r="E11" i="3"/>
  <c r="F11" i="3"/>
  <c r="E12" i="3"/>
  <c r="F12" i="3"/>
  <c r="E13" i="3"/>
  <c r="F13" i="3"/>
  <c r="E14" i="3"/>
  <c r="F14" i="3"/>
  <c r="E15" i="3"/>
  <c r="F15" i="3"/>
  <c r="E16" i="3"/>
  <c r="F16" i="3"/>
  <c r="E17" i="3"/>
  <c r="F17" i="3"/>
  <c r="E18" i="3"/>
  <c r="F18" i="3"/>
  <c r="E19" i="3"/>
  <c r="F19" i="3"/>
  <c r="E20" i="3"/>
  <c r="F20" i="3"/>
  <c r="E21" i="3"/>
  <c r="F21" i="3"/>
  <c r="E22" i="3"/>
  <c r="F22" i="3"/>
  <c r="E23" i="3"/>
  <c r="F23" i="3"/>
  <c r="E24" i="3"/>
  <c r="F24" i="3"/>
  <c r="E2" i="3"/>
  <c r="F2" i="3"/>
  <c r="C6" i="2" l="1"/>
  <c r="C5" i="2"/>
  <c r="C4" i="2"/>
  <c r="C3" i="2"/>
  <c r="C2" i="2"/>
  <c r="G4" i="2" l="1"/>
  <c r="H6" i="2" l="1"/>
  <c r="H5" i="2"/>
  <c r="H4" i="2"/>
  <c r="H3" i="2"/>
  <c r="G2" i="2"/>
  <c r="H2" i="2" s="1"/>
  <c r="D2" i="3"/>
  <c r="D3" i="3" s="1"/>
  <c r="D4" i="3" s="1"/>
  <c r="D5" i="3" s="1"/>
  <c r="D6" i="3" s="1"/>
  <c r="D7" i="3" s="1"/>
  <c r="D8" i="3" s="1"/>
  <c r="D9" i="3" s="1"/>
  <c r="D10" i="3" s="1"/>
  <c r="D11" i="3" s="1"/>
  <c r="D12" i="3" s="1"/>
  <c r="D13" i="3" s="1"/>
  <c r="D14" i="3" s="1"/>
  <c r="D15" i="3" s="1"/>
  <c r="D16" i="3" s="1"/>
  <c r="D17" i="3" s="1"/>
  <c r="D18" i="3" s="1"/>
  <c r="D19" i="3" s="1"/>
  <c r="D20" i="3" s="1"/>
  <c r="D21" i="3" s="1"/>
  <c r="D22" i="3" s="1"/>
  <c r="D23" i="3" s="1"/>
  <c r="D24" i="3" s="1"/>
</calcChain>
</file>

<file path=xl/sharedStrings.xml><?xml version="1.0" encoding="utf-8"?>
<sst xmlns="http://schemas.openxmlformats.org/spreadsheetml/2006/main" count="204" uniqueCount="155">
  <si>
    <t>name</t>
  </si>
  <si>
    <t>id</t>
  </si>
  <si>
    <t>range</t>
  </si>
  <si>
    <t>upgrades</t>
  </si>
  <si>
    <t>rotate_speed</t>
  </si>
  <si>
    <t>reload_time</t>
  </si>
  <si>
    <t>bullet_stats.width</t>
  </si>
  <si>
    <t>bullet_stats.height</t>
  </si>
  <si>
    <t>bullet_stats.damage</t>
  </si>
  <si>
    <t>bullet_stats.speed</t>
  </si>
  <si>
    <t>bullet_stats.aoe</t>
  </si>
  <si>
    <t>bullet_stats.follow_target</t>
  </si>
  <si>
    <t>price</t>
  </si>
  <si>
    <t>T001</t>
  </si>
  <si>
    <t>TB001</t>
  </si>
  <si>
    <t>102,103</t>
  </si>
  <si>
    <t>TB002</t>
  </si>
  <si>
    <t>104,105</t>
  </si>
  <si>
    <t>TB003</t>
  </si>
  <si>
    <t>105,106</t>
  </si>
  <si>
    <t>TB004</t>
  </si>
  <si>
    <t>107,108</t>
  </si>
  <si>
    <t>TB005</t>
  </si>
  <si>
    <t>TB006</t>
  </si>
  <si>
    <t>108,109</t>
  </si>
  <si>
    <t>TB007</t>
  </si>
  <si>
    <t>110,111</t>
  </si>
  <si>
    <t>TB008</t>
  </si>
  <si>
    <t>TB009</t>
  </si>
  <si>
    <t>111,112</t>
  </si>
  <si>
    <t>TB010</t>
  </si>
  <si>
    <t>TB011</t>
  </si>
  <si>
    <t>TB012</t>
  </si>
  <si>
    <t>TA001</t>
  </si>
  <si>
    <t>202,203</t>
  </si>
  <si>
    <t>TA002</t>
  </si>
  <si>
    <t>204,205</t>
  </si>
  <si>
    <t>TA003</t>
  </si>
  <si>
    <t>205,206</t>
  </si>
  <si>
    <t>TA004</t>
  </si>
  <si>
    <t>207,208</t>
  </si>
  <si>
    <t>TA005</t>
  </si>
  <si>
    <t>TA006</t>
  </si>
  <si>
    <t>208,209</t>
  </si>
  <si>
    <t>TA007</t>
  </si>
  <si>
    <t>210,211</t>
  </si>
  <si>
    <t>TA008</t>
  </si>
  <si>
    <t>TA009</t>
  </si>
  <si>
    <t>211,212</t>
  </si>
  <si>
    <t>TA010</t>
  </si>
  <si>
    <t>TA011</t>
  </si>
  <si>
    <t>TA012</t>
  </si>
  <si>
    <t>health</t>
  </si>
  <si>
    <t>armor1</t>
  </si>
  <si>
    <t>armor2</t>
  </si>
  <si>
    <t>armor3</t>
  </si>
  <si>
    <t>speed_min</t>
  </si>
  <si>
    <t>speed_max</t>
  </si>
  <si>
    <t>size.x</t>
  </si>
  <si>
    <t>size.y</t>
  </si>
  <si>
    <t>reward</t>
  </si>
  <si>
    <t>Ball_01</t>
  </si>
  <si>
    <t>Car_01</t>
  </si>
  <si>
    <t>Planet_01</t>
  </si>
  <si>
    <t>Spaceship_01</t>
  </si>
  <si>
    <t>Spider_01</t>
  </si>
  <si>
    <t>duration</t>
  </si>
  <si>
    <t>release_time</t>
  </si>
  <si>
    <t>W1</t>
  </si>
  <si>
    <t>W2</t>
  </si>
  <si>
    <t>W3</t>
  </si>
  <si>
    <t>W4</t>
  </si>
  <si>
    <t>A1</t>
  </si>
  <si>
    <t>K6</t>
  </si>
  <si>
    <t>W5</t>
  </si>
  <si>
    <t>W6</t>
  </si>
  <si>
    <t>W7</t>
  </si>
  <si>
    <t>W8</t>
  </si>
  <si>
    <t>mob_types</t>
  </si>
  <si>
    <t>mob_amounts</t>
  </si>
  <si>
    <t>path</t>
  </si>
  <si>
    <t>stone</t>
  </si>
  <si>
    <t>lazer</t>
  </si>
  <si>
    <t>bullet_01</t>
  </si>
  <si>
    <t>bullet_03</t>
  </si>
  <si>
    <t>bullet_02</t>
  </si>
  <si>
    <t>images\bullets\stone\stone_16x16.png</t>
  </si>
  <si>
    <t>images\bullets\bullet_01\bullet_01_16x16.png</t>
  </si>
  <si>
    <t>images\bullets\bullet_02\bullet_02_16x16.png</t>
  </si>
  <si>
    <t>images\bullets\bullet_03\bullet_03_16x16.png</t>
  </si>
  <si>
    <t>C6</t>
  </si>
  <si>
    <t>bullet_name</t>
  </si>
  <si>
    <t>N26</t>
  </si>
  <si>
    <t>images\bullets\lazer\lazer_2x16.png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</si>
  <si>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</si>
  <si>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</si>
  <si>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</si>
  <si>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</si>
  <si>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</si>
  <si>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</si>
  <si>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</si>
  <si>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</si>
  <si>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</si>
  <si>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</si>
  <si>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</si>
  <si>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</si>
  <si>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</si>
  <si>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</si>
  <si>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W25</t>
  </si>
  <si>
    <t>F24</t>
  </si>
  <si>
    <t>rel_time_mp</t>
  </si>
  <si>
    <t>speed_mp</t>
  </si>
  <si>
    <t>type</t>
  </si>
  <si>
    <t>multi</t>
  </si>
  <si>
    <t>prefix</t>
  </si>
  <si>
    <t>start_n</t>
  </si>
  <si>
    <t>end_n</t>
  </si>
  <si>
    <t>n_padded_0</t>
  </si>
  <si>
    <t>white-explode</t>
  </si>
  <si>
    <t>red-explode</t>
  </si>
  <si>
    <t>images\explosions\blue-flash\DebrisExplode</t>
  </si>
  <si>
    <t>blue-flash</t>
  </si>
  <si>
    <t>dynamite</t>
  </si>
  <si>
    <t>short-expl-01</t>
  </si>
  <si>
    <t>images\explosions\short\explosion-1\explosion-1-</t>
  </si>
  <si>
    <t>short-expl-02</t>
  </si>
  <si>
    <t>short-expl-03</t>
  </si>
  <si>
    <t>short-expl-04</t>
  </si>
  <si>
    <t>short-expl-05</t>
  </si>
  <si>
    <t>short-expl-06</t>
  </si>
  <si>
    <t>images\explosions\short\explosion-2\explosion-2-</t>
  </si>
  <si>
    <t>images\explosions\short\explosion-3\</t>
  </si>
  <si>
    <t>images\explosions\short\explosion-4\</t>
  </si>
  <si>
    <t>images\explosions\short\explosion-5\explosion-5-</t>
  </si>
  <si>
    <t>images\explosions\short\explosion-6\explosion-6-</t>
  </si>
  <si>
    <t>short-expl-07</t>
  </si>
  <si>
    <t>short-expl-08</t>
  </si>
  <si>
    <t>short-expl-09</t>
  </si>
  <si>
    <t>images\explosions\short\explosion-7\</t>
  </si>
  <si>
    <t>images\explosions\short\explosion-8\</t>
  </si>
  <si>
    <t>images\explosions\short\explosion-9\</t>
  </si>
  <si>
    <t>F14</t>
  </si>
  <si>
    <t>images\explosions\red-explode\redexplode</t>
  </si>
  <si>
    <t>images\explosions\white-explode\explodewhite</t>
  </si>
  <si>
    <t>images\explosions\dynamite\dynoexplode</t>
  </si>
  <si>
    <t>health_mp</t>
  </si>
  <si>
    <t>rot_speed_mp</t>
  </si>
  <si>
    <t>TS001</t>
  </si>
  <si>
    <t>302,303</t>
  </si>
  <si>
    <t>TS002</t>
  </si>
  <si>
    <t>TS003</t>
  </si>
  <si>
    <t>101,201,301</t>
  </si>
  <si>
    <t>spec1</t>
  </si>
  <si>
    <t>spec3</t>
  </si>
  <si>
    <t>spec2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</si>
</sst>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kr&quot;\ * #,##0.00_-;\-&quot;kr&quot;\ * #,##0.00_-;_-&quot;kr&quot;\ * &quot;-&quot;??_-;_-@_-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2" fontId="0" fillId="0" borderId="0" xfId="0" applyNumberFormat="1"/>
    <xf numFmtId="0" fontId="0" fillId="0" borderId="0" xfId="0" applyFont="1"/>
    <xf numFmtId="9" fontId="0" fillId="0" borderId="0" xfId="0" applyNumberFormat="1"/>
    <xf numFmtId="44" fontId="0" fillId="0" borderId="0" xfId="0" applyNumberFormat="1"/>
    <xf numFmtId="0" fontId="0" fillId="2" borderId="0" xfId="0" applyFill="1"/>
    <xf numFmtId="2" fontId="0" fillId="2" borderId="0" xfId="0" applyNumberFormat="1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2" fontId="0" fillId="4" borderId="0" xfId="0" applyNumberFormat="1" applyFill="1"/>
    <xf numFmtId="0" fontId="0" fillId="5" borderId="0" xfId="0" applyFill="1"/>
    <xf numFmtId="2" fontId="0" fillId="5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57150</xdr:colOff>
          <xdr:row>3</xdr:row>
          <xdr:rowOff>38100</xdr:rowOff>
        </xdr:from>
        <xdr:to>
          <xdr:col>16</xdr:col>
          <xdr:colOff>476250</xdr:colOff>
          <xdr:row>4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4</xdr:row>
          <xdr:rowOff>66675</xdr:rowOff>
        </xdr:from>
        <xdr:to>
          <xdr:col>13</xdr:col>
          <xdr:colOff>447675</xdr:colOff>
          <xdr:row>5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</xdr:row>
          <xdr:rowOff>47625</xdr:rowOff>
        </xdr:from>
        <xdr:to>
          <xdr:col>18</xdr:col>
          <xdr:colOff>419100</xdr:colOff>
          <xdr:row>5</xdr:row>
          <xdr:rowOff>85725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47625</xdr:rowOff>
        </xdr:from>
        <xdr:to>
          <xdr:col>7</xdr:col>
          <xdr:colOff>419100</xdr:colOff>
          <xdr:row>4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47625</xdr:rowOff>
        </xdr:from>
        <xdr:to>
          <xdr:col>10</xdr:col>
          <xdr:colOff>419100</xdr:colOff>
          <xdr:row>6</xdr:row>
          <xdr:rowOff>85725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62D02-822E-4D62-85A6-11F0B47597D2}">
  <sheetPr codeName="Sheet1"/>
  <dimension ref="A1:T29"/>
  <sheetViews>
    <sheetView tabSelected="1" zoomScale="113" zoomScaleNormal="130" workbookViewId="0">
      <selection activeCell="L27" sqref="L27"/>
    </sheetView>
  </sheetViews>
  <sheetFormatPr defaultRowHeight="15" x14ac:dyDescent="0.25"/>
  <cols>
    <col min="5" max="5" width="12.85546875" bestFit="1" customWidth="1"/>
    <col min="6" max="7" width="15.140625" customWidth="1"/>
    <col min="8" max="8" width="17.42578125" bestFit="1" customWidth="1"/>
    <col min="9" max="9" width="18" bestFit="1" customWidth="1"/>
    <col min="10" max="10" width="19.28515625" bestFit="1" customWidth="1"/>
    <col min="11" max="11" width="17.7109375" bestFit="1" customWidth="1"/>
    <col min="12" max="12" width="15.42578125" bestFit="1" customWidth="1"/>
    <col min="13" max="13" width="24.42578125" bestFit="1" customWidth="1"/>
    <col min="18" max="18" width="8.42578125" customWidth="1"/>
    <col min="19" max="19" width="14" bestFit="1" customWidth="1"/>
  </cols>
  <sheetData>
    <row r="1" spans="1:20" x14ac:dyDescent="0.25">
      <c r="A1" t="s">
        <v>0</v>
      </c>
      <c r="B1" t="s">
        <v>1</v>
      </c>
      <c r="C1" t="s">
        <v>3</v>
      </c>
      <c r="D1" t="s">
        <v>2</v>
      </c>
      <c r="E1" t="s">
        <v>4</v>
      </c>
      <c r="F1" t="s">
        <v>5</v>
      </c>
      <c r="G1" t="s">
        <v>91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</row>
    <row r="2" spans="1:20" x14ac:dyDescent="0.25">
      <c r="A2" s="7" t="s">
        <v>13</v>
      </c>
      <c r="B2" s="7">
        <v>1</v>
      </c>
      <c r="C2" s="7" t="s">
        <v>151</v>
      </c>
      <c r="D2" s="7">
        <v>2</v>
      </c>
      <c r="E2" s="7"/>
      <c r="F2" s="7">
        <v>0.2</v>
      </c>
      <c r="G2" s="7" t="s">
        <v>81</v>
      </c>
      <c r="H2" s="7">
        <v>5</v>
      </c>
      <c r="I2" s="7">
        <v>5</v>
      </c>
      <c r="J2" s="7">
        <v>10</v>
      </c>
      <c r="K2" s="8">
        <f>4*T3</f>
        <v>6</v>
      </c>
      <c r="L2" s="7"/>
      <c r="M2" s="7"/>
      <c r="N2" s="7">
        <v>10</v>
      </c>
    </row>
    <row r="3" spans="1:20" x14ac:dyDescent="0.25">
      <c r="A3" s="9" t="s">
        <v>14</v>
      </c>
      <c r="B3" s="9">
        <v>101</v>
      </c>
      <c r="C3" s="9" t="s">
        <v>15</v>
      </c>
      <c r="D3" s="9">
        <v>3</v>
      </c>
      <c r="E3" s="9"/>
      <c r="F3" s="9">
        <v>0.5</v>
      </c>
      <c r="G3" s="9" t="s">
        <v>82</v>
      </c>
      <c r="H3" s="9">
        <v>5</v>
      </c>
      <c r="I3" s="9">
        <v>1</v>
      </c>
      <c r="J3" s="9">
        <v>15</v>
      </c>
      <c r="K3" s="10">
        <f>K2*1.075</f>
        <v>6.4499999999999993</v>
      </c>
      <c r="L3" s="9"/>
      <c r="M3" s="9"/>
      <c r="N3" s="9">
        <v>11</v>
      </c>
      <c r="P3" s="1" t="s">
        <v>72</v>
      </c>
      <c r="Q3" s="1" t="s">
        <v>92</v>
      </c>
      <c r="S3" t="s">
        <v>111</v>
      </c>
      <c r="T3">
        <v>1.5</v>
      </c>
    </row>
    <row r="4" spans="1:20" x14ac:dyDescent="0.25">
      <c r="A4" s="9" t="s">
        <v>16</v>
      </c>
      <c r="B4" s="9">
        <v>102</v>
      </c>
      <c r="C4" s="9" t="s">
        <v>17</v>
      </c>
      <c r="D4" s="9">
        <v>3</v>
      </c>
      <c r="E4" s="9"/>
      <c r="F4" s="9">
        <v>0.15</v>
      </c>
      <c r="G4" s="9" t="s">
        <v>82</v>
      </c>
      <c r="H4" s="9">
        <v>5</v>
      </c>
      <c r="I4" s="9">
        <v>1</v>
      </c>
      <c r="J4" s="9">
        <v>20</v>
      </c>
      <c r="K4" s="10">
        <f t="shared" ref="K4:K14" si="0">K3*1.1</f>
        <v>7.0949999999999998</v>
      </c>
      <c r="L4" s="9"/>
      <c r="M4" s="9"/>
      <c r="N4" s="9">
        <v>12</v>
      </c>
      <c r="S4" t="s">
        <v>146</v>
      </c>
      <c r="T4">
        <v>2.5</v>
      </c>
    </row>
    <row r="5" spans="1:20" x14ac:dyDescent="0.25">
      <c r="A5" s="9" t="s">
        <v>18</v>
      </c>
      <c r="B5" s="9">
        <v>103</v>
      </c>
      <c r="C5" s="9" t="s">
        <v>19</v>
      </c>
      <c r="D5" s="9">
        <v>3</v>
      </c>
      <c r="E5" s="9"/>
      <c r="F5" s="9">
        <v>0.2</v>
      </c>
      <c r="G5" s="9" t="s">
        <v>83</v>
      </c>
      <c r="H5" s="9">
        <v>5</v>
      </c>
      <c r="I5" s="9">
        <v>5</v>
      </c>
      <c r="J5" s="9">
        <v>20</v>
      </c>
      <c r="K5" s="10">
        <f t="shared" si="0"/>
        <v>7.8045</v>
      </c>
      <c r="L5" s="9"/>
      <c r="M5" s="9"/>
      <c r="N5" s="9">
        <v>15</v>
      </c>
    </row>
    <row r="6" spans="1:20" x14ac:dyDescent="0.25">
      <c r="A6" s="9" t="s">
        <v>20</v>
      </c>
      <c r="B6" s="9">
        <v>104</v>
      </c>
      <c r="C6" s="9" t="s">
        <v>21</v>
      </c>
      <c r="D6" s="9">
        <v>4</v>
      </c>
      <c r="E6" s="9"/>
      <c r="F6" s="9">
        <v>0.1</v>
      </c>
      <c r="G6" s="9" t="s">
        <v>85</v>
      </c>
      <c r="H6" s="9">
        <v>5</v>
      </c>
      <c r="I6" s="9">
        <v>5</v>
      </c>
      <c r="J6" s="9">
        <v>30</v>
      </c>
      <c r="K6" s="10">
        <f t="shared" si="0"/>
        <v>8.584950000000001</v>
      </c>
      <c r="L6" s="9"/>
      <c r="M6" s="9"/>
      <c r="N6" s="9">
        <v>15</v>
      </c>
    </row>
    <row r="7" spans="1:20" x14ac:dyDescent="0.25">
      <c r="A7" s="9" t="s">
        <v>22</v>
      </c>
      <c r="B7" s="9">
        <v>105</v>
      </c>
      <c r="C7" s="9">
        <v>108</v>
      </c>
      <c r="D7" s="9">
        <v>4</v>
      </c>
      <c r="E7" s="9"/>
      <c r="F7" s="9">
        <v>0.5</v>
      </c>
      <c r="G7" s="9" t="s">
        <v>84</v>
      </c>
      <c r="H7" s="9">
        <v>5</v>
      </c>
      <c r="I7" s="9">
        <v>5</v>
      </c>
      <c r="J7" s="9">
        <v>50</v>
      </c>
      <c r="K7" s="10">
        <f t="shared" si="0"/>
        <v>9.4434450000000023</v>
      </c>
      <c r="L7" s="9"/>
      <c r="M7" s="9"/>
      <c r="N7" s="9">
        <v>20</v>
      </c>
    </row>
    <row r="8" spans="1:20" x14ac:dyDescent="0.25">
      <c r="A8" s="9" t="s">
        <v>23</v>
      </c>
      <c r="B8" s="9">
        <v>106</v>
      </c>
      <c r="C8" s="9" t="s">
        <v>24</v>
      </c>
      <c r="D8" s="9">
        <v>4</v>
      </c>
      <c r="E8" s="9"/>
      <c r="F8" s="9">
        <v>0.5</v>
      </c>
      <c r="G8" s="9" t="s">
        <v>83</v>
      </c>
      <c r="H8" s="9">
        <v>5</v>
      </c>
      <c r="I8" s="9">
        <v>5</v>
      </c>
      <c r="J8" s="9">
        <v>50</v>
      </c>
      <c r="K8" s="10">
        <f t="shared" si="0"/>
        <v>10.387789500000004</v>
      </c>
      <c r="L8" s="9"/>
      <c r="M8" s="9"/>
      <c r="N8" s="9">
        <v>20</v>
      </c>
    </row>
    <row r="9" spans="1:20" x14ac:dyDescent="0.25">
      <c r="A9" s="9" t="s">
        <v>25</v>
      </c>
      <c r="B9" s="9">
        <v>107</v>
      </c>
      <c r="C9" s="9" t="s">
        <v>26</v>
      </c>
      <c r="D9" s="9">
        <v>5</v>
      </c>
      <c r="E9" s="9"/>
      <c r="F9" s="9">
        <v>1</v>
      </c>
      <c r="G9" s="9" t="s">
        <v>85</v>
      </c>
      <c r="H9" s="9">
        <v>5</v>
      </c>
      <c r="I9" s="9">
        <v>5</v>
      </c>
      <c r="J9" s="9">
        <v>50</v>
      </c>
      <c r="K9" s="10">
        <f t="shared" si="0"/>
        <v>11.426568450000005</v>
      </c>
      <c r="L9" s="9"/>
      <c r="M9" s="9"/>
      <c r="N9" s="9">
        <v>20</v>
      </c>
    </row>
    <row r="10" spans="1:20" x14ac:dyDescent="0.25">
      <c r="A10" s="9" t="s">
        <v>27</v>
      </c>
      <c r="B10" s="9">
        <v>108</v>
      </c>
      <c r="C10" s="9">
        <v>111</v>
      </c>
      <c r="D10" s="9">
        <v>5</v>
      </c>
      <c r="E10" s="9"/>
      <c r="F10" s="9">
        <v>0.1</v>
      </c>
      <c r="G10" s="9" t="s">
        <v>84</v>
      </c>
      <c r="H10" s="9">
        <v>5</v>
      </c>
      <c r="I10" s="9">
        <v>5</v>
      </c>
      <c r="J10" s="9">
        <v>50</v>
      </c>
      <c r="K10" s="10">
        <f t="shared" si="0"/>
        <v>12.569225295000006</v>
      </c>
      <c r="L10" s="9"/>
      <c r="M10" s="9"/>
      <c r="N10" s="9">
        <v>20</v>
      </c>
    </row>
    <row r="11" spans="1:20" x14ac:dyDescent="0.25">
      <c r="A11" s="9" t="s">
        <v>28</v>
      </c>
      <c r="B11" s="9">
        <v>109</v>
      </c>
      <c r="C11" s="9" t="s">
        <v>29</v>
      </c>
      <c r="D11" s="9">
        <v>5</v>
      </c>
      <c r="E11" s="9"/>
      <c r="F11" s="9">
        <v>0.1</v>
      </c>
      <c r="G11" s="9" t="s">
        <v>83</v>
      </c>
      <c r="H11" s="9">
        <v>5</v>
      </c>
      <c r="I11" s="9">
        <v>5</v>
      </c>
      <c r="J11" s="9">
        <v>50</v>
      </c>
      <c r="K11" s="10">
        <f t="shared" si="0"/>
        <v>13.826147824500008</v>
      </c>
      <c r="L11" s="9"/>
      <c r="M11" s="9"/>
      <c r="N11" s="9">
        <v>20</v>
      </c>
    </row>
    <row r="12" spans="1:20" x14ac:dyDescent="0.25">
      <c r="A12" s="9" t="s">
        <v>30</v>
      </c>
      <c r="B12" s="9">
        <v>110</v>
      </c>
      <c r="C12" s="9"/>
      <c r="D12" s="9">
        <v>6</v>
      </c>
      <c r="E12" s="9"/>
      <c r="F12" s="9">
        <v>0.4</v>
      </c>
      <c r="G12" s="9" t="s">
        <v>85</v>
      </c>
      <c r="H12" s="9">
        <v>5</v>
      </c>
      <c r="I12" s="9">
        <v>5</v>
      </c>
      <c r="J12" s="9">
        <v>100</v>
      </c>
      <c r="K12" s="10">
        <f t="shared" si="0"/>
        <v>15.20876260695001</v>
      </c>
      <c r="L12" s="9"/>
      <c r="M12" s="9"/>
      <c r="N12" s="9">
        <v>30</v>
      </c>
    </row>
    <row r="13" spans="1:20" x14ac:dyDescent="0.25">
      <c r="A13" s="9" t="s">
        <v>31</v>
      </c>
      <c r="B13" s="9">
        <v>111</v>
      </c>
      <c r="C13" s="9"/>
      <c r="D13" s="9">
        <v>6</v>
      </c>
      <c r="E13" s="9"/>
      <c r="F13" s="9">
        <v>0.4</v>
      </c>
      <c r="G13" s="9" t="s">
        <v>84</v>
      </c>
      <c r="H13" s="9">
        <v>5</v>
      </c>
      <c r="I13" s="9">
        <v>5</v>
      </c>
      <c r="J13" s="9">
        <v>100</v>
      </c>
      <c r="K13" s="10">
        <f t="shared" si="0"/>
        <v>16.729638867645011</v>
      </c>
      <c r="L13" s="9"/>
      <c r="M13" s="9"/>
      <c r="N13" s="9">
        <v>30</v>
      </c>
    </row>
    <row r="14" spans="1:20" x14ac:dyDescent="0.25">
      <c r="A14" s="9" t="s">
        <v>32</v>
      </c>
      <c r="B14" s="9">
        <v>112</v>
      </c>
      <c r="C14" s="9"/>
      <c r="D14" s="9">
        <v>6</v>
      </c>
      <c r="E14" s="9"/>
      <c r="F14" s="9">
        <v>0.4</v>
      </c>
      <c r="G14" s="9" t="s">
        <v>82</v>
      </c>
      <c r="H14" s="9">
        <v>5</v>
      </c>
      <c r="I14" s="9">
        <v>1</v>
      </c>
      <c r="J14" s="9">
        <v>100</v>
      </c>
      <c r="K14" s="10">
        <f t="shared" si="0"/>
        <v>18.402602754409514</v>
      </c>
      <c r="L14" s="9"/>
      <c r="M14" s="9"/>
      <c r="N14" s="9">
        <v>30</v>
      </c>
    </row>
    <row r="15" spans="1:20" x14ac:dyDescent="0.25">
      <c r="A15" s="11" t="s">
        <v>33</v>
      </c>
      <c r="B15" s="11">
        <v>201</v>
      </c>
      <c r="C15" s="11" t="s">
        <v>34</v>
      </c>
      <c r="D15" s="11">
        <v>3</v>
      </c>
      <c r="E15" s="12">
        <f>1*T4</f>
        <v>2.5</v>
      </c>
      <c r="F15" s="11">
        <v>0.25</v>
      </c>
      <c r="G15" s="11" t="s">
        <v>82</v>
      </c>
      <c r="H15" s="11">
        <v>5</v>
      </c>
      <c r="I15" s="11">
        <v>1</v>
      </c>
      <c r="J15" s="11">
        <v>10</v>
      </c>
      <c r="K15" s="12">
        <f>4*T3</f>
        <v>6</v>
      </c>
      <c r="L15" s="11"/>
      <c r="M15" s="11"/>
      <c r="N15" s="11">
        <v>11</v>
      </c>
    </row>
    <row r="16" spans="1:20" x14ac:dyDescent="0.25">
      <c r="A16" s="11" t="s">
        <v>35</v>
      </c>
      <c r="B16" s="11">
        <v>202</v>
      </c>
      <c r="C16" s="11" t="s">
        <v>36</v>
      </c>
      <c r="D16" s="11">
        <v>3</v>
      </c>
      <c r="E16" s="12">
        <f>E15*1.2</f>
        <v>3</v>
      </c>
      <c r="F16" s="11">
        <v>0.5</v>
      </c>
      <c r="G16" s="11" t="s">
        <v>82</v>
      </c>
      <c r="H16" s="11">
        <v>5</v>
      </c>
      <c r="I16" s="11">
        <v>1</v>
      </c>
      <c r="J16" s="11">
        <v>15</v>
      </c>
      <c r="K16" s="12">
        <f>K15*1.075</f>
        <v>6.4499999999999993</v>
      </c>
      <c r="L16" s="11"/>
      <c r="M16" s="11"/>
      <c r="N16" s="11">
        <v>12</v>
      </c>
    </row>
    <row r="17" spans="1:14" x14ac:dyDescent="0.25">
      <c r="A17" s="11" t="s">
        <v>37</v>
      </c>
      <c r="B17" s="11">
        <v>203</v>
      </c>
      <c r="C17" s="11" t="s">
        <v>38</v>
      </c>
      <c r="D17" s="11">
        <v>3</v>
      </c>
      <c r="E17" s="12">
        <f t="shared" ref="E17:E26" si="1">E16*1.2</f>
        <v>3.5999999999999996</v>
      </c>
      <c r="F17" s="11">
        <v>0.15</v>
      </c>
      <c r="G17" s="11" t="s">
        <v>82</v>
      </c>
      <c r="H17" s="11">
        <v>5</v>
      </c>
      <c r="I17" s="11">
        <v>1</v>
      </c>
      <c r="J17" s="11">
        <v>20</v>
      </c>
      <c r="K17" s="12">
        <f t="shared" ref="K17:K27" si="2">K16*1.1</f>
        <v>7.0949999999999998</v>
      </c>
      <c r="L17" s="11"/>
      <c r="M17" s="11"/>
      <c r="N17" s="11">
        <v>15</v>
      </c>
    </row>
    <row r="18" spans="1:14" x14ac:dyDescent="0.25">
      <c r="A18" s="11" t="s">
        <v>39</v>
      </c>
      <c r="B18" s="11">
        <v>204</v>
      </c>
      <c r="C18" s="11" t="s">
        <v>40</v>
      </c>
      <c r="D18" s="11">
        <v>4</v>
      </c>
      <c r="E18" s="12">
        <f t="shared" si="1"/>
        <v>4.3199999999999994</v>
      </c>
      <c r="F18" s="11">
        <v>0.2</v>
      </c>
      <c r="G18" s="11" t="s">
        <v>82</v>
      </c>
      <c r="H18" s="11">
        <v>5</v>
      </c>
      <c r="I18" s="11">
        <v>1</v>
      </c>
      <c r="J18" s="11">
        <v>20</v>
      </c>
      <c r="K18" s="12">
        <f t="shared" si="2"/>
        <v>7.8045</v>
      </c>
      <c r="L18" s="11"/>
      <c r="M18" s="11"/>
      <c r="N18" s="11">
        <v>15</v>
      </c>
    </row>
    <row r="19" spans="1:14" x14ac:dyDescent="0.25">
      <c r="A19" s="11" t="s">
        <v>41</v>
      </c>
      <c r="B19" s="11">
        <v>205</v>
      </c>
      <c r="C19" s="11">
        <v>208</v>
      </c>
      <c r="D19" s="11">
        <v>4</v>
      </c>
      <c r="E19" s="12">
        <f t="shared" si="1"/>
        <v>5.1839999999999993</v>
      </c>
      <c r="F19" s="11">
        <v>0.1</v>
      </c>
      <c r="G19" s="11" t="s">
        <v>82</v>
      </c>
      <c r="H19" s="11">
        <v>5</v>
      </c>
      <c r="I19" s="11">
        <v>2</v>
      </c>
      <c r="J19" s="11">
        <v>30</v>
      </c>
      <c r="K19" s="12">
        <f t="shared" si="2"/>
        <v>8.584950000000001</v>
      </c>
      <c r="L19" s="11"/>
      <c r="M19" s="11"/>
      <c r="N19" s="11">
        <v>20</v>
      </c>
    </row>
    <row r="20" spans="1:14" x14ac:dyDescent="0.25">
      <c r="A20" s="11" t="s">
        <v>42</v>
      </c>
      <c r="B20" s="11">
        <v>206</v>
      </c>
      <c r="C20" s="11" t="s">
        <v>43</v>
      </c>
      <c r="D20" s="11">
        <v>4</v>
      </c>
      <c r="E20" s="12">
        <f t="shared" si="1"/>
        <v>6.2207999999999988</v>
      </c>
      <c r="F20" s="11">
        <v>0.5</v>
      </c>
      <c r="G20" s="11" t="s">
        <v>82</v>
      </c>
      <c r="H20" s="11">
        <v>5</v>
      </c>
      <c r="I20" s="11">
        <v>1</v>
      </c>
      <c r="J20" s="11">
        <v>50</v>
      </c>
      <c r="K20" s="12">
        <f t="shared" si="2"/>
        <v>9.4434450000000023</v>
      </c>
      <c r="L20" s="11"/>
      <c r="M20" s="11"/>
      <c r="N20" s="11">
        <v>20</v>
      </c>
    </row>
    <row r="21" spans="1:14" x14ac:dyDescent="0.25">
      <c r="A21" s="11" t="s">
        <v>44</v>
      </c>
      <c r="B21" s="11">
        <v>207</v>
      </c>
      <c r="C21" s="11" t="s">
        <v>45</v>
      </c>
      <c r="D21" s="11">
        <v>5</v>
      </c>
      <c r="E21" s="12">
        <f t="shared" si="1"/>
        <v>7.4649599999999978</v>
      </c>
      <c r="F21" s="11">
        <v>0.5</v>
      </c>
      <c r="G21" s="11" t="s">
        <v>82</v>
      </c>
      <c r="H21" s="11">
        <v>5</v>
      </c>
      <c r="I21" s="11">
        <v>1</v>
      </c>
      <c r="J21" s="11">
        <v>50</v>
      </c>
      <c r="K21" s="12">
        <f t="shared" si="2"/>
        <v>10.387789500000004</v>
      </c>
      <c r="L21" s="11"/>
      <c r="M21" s="11"/>
      <c r="N21" s="11">
        <v>20</v>
      </c>
    </row>
    <row r="22" spans="1:14" x14ac:dyDescent="0.25">
      <c r="A22" s="11" t="s">
        <v>46</v>
      </c>
      <c r="B22" s="11">
        <v>208</v>
      </c>
      <c r="C22" s="11">
        <v>211</v>
      </c>
      <c r="D22" s="11">
        <v>5</v>
      </c>
      <c r="E22" s="12">
        <f t="shared" si="1"/>
        <v>8.957951999999997</v>
      </c>
      <c r="F22" s="11">
        <v>1</v>
      </c>
      <c r="G22" s="11" t="s">
        <v>82</v>
      </c>
      <c r="H22" s="11">
        <v>5</v>
      </c>
      <c r="I22" s="11">
        <v>1</v>
      </c>
      <c r="J22" s="11">
        <v>50</v>
      </c>
      <c r="K22" s="12">
        <f t="shared" si="2"/>
        <v>11.426568450000005</v>
      </c>
      <c r="L22" s="11"/>
      <c r="M22" s="11"/>
      <c r="N22" s="11">
        <v>20</v>
      </c>
    </row>
    <row r="23" spans="1:14" x14ac:dyDescent="0.25">
      <c r="A23" s="11" t="s">
        <v>47</v>
      </c>
      <c r="B23" s="11">
        <v>209</v>
      </c>
      <c r="C23" s="11" t="s">
        <v>48</v>
      </c>
      <c r="D23" s="11">
        <v>5</v>
      </c>
      <c r="E23" s="12">
        <f t="shared" si="1"/>
        <v>10.749542399999996</v>
      </c>
      <c r="F23" s="11">
        <v>0.1</v>
      </c>
      <c r="G23" s="11" t="s">
        <v>82</v>
      </c>
      <c r="H23" s="11">
        <v>5</v>
      </c>
      <c r="I23" s="11">
        <v>1</v>
      </c>
      <c r="J23" s="11">
        <v>50</v>
      </c>
      <c r="K23" s="12">
        <f t="shared" si="2"/>
        <v>12.569225295000006</v>
      </c>
      <c r="L23" s="11"/>
      <c r="M23" s="11"/>
      <c r="N23" s="11">
        <v>20</v>
      </c>
    </row>
    <row r="24" spans="1:14" x14ac:dyDescent="0.25">
      <c r="A24" s="11" t="s">
        <v>49</v>
      </c>
      <c r="B24" s="11">
        <v>210</v>
      </c>
      <c r="C24" s="11"/>
      <c r="D24" s="11">
        <v>6</v>
      </c>
      <c r="E24" s="12">
        <f t="shared" si="1"/>
        <v>12.899450879999995</v>
      </c>
      <c r="F24" s="11">
        <v>0.1</v>
      </c>
      <c r="G24" s="11" t="s">
        <v>81</v>
      </c>
      <c r="H24" s="11">
        <v>5</v>
      </c>
      <c r="I24" s="11">
        <v>5</v>
      </c>
      <c r="J24" s="11">
        <v>50</v>
      </c>
      <c r="K24" s="12">
        <f t="shared" si="2"/>
        <v>13.826147824500008</v>
      </c>
      <c r="L24" s="11"/>
      <c r="M24" s="11"/>
      <c r="N24" s="11">
        <v>30</v>
      </c>
    </row>
    <row r="25" spans="1:14" x14ac:dyDescent="0.25">
      <c r="A25" s="11" t="s">
        <v>50</v>
      </c>
      <c r="B25" s="11">
        <v>211</v>
      </c>
      <c r="C25" s="11"/>
      <c r="D25" s="11">
        <v>6</v>
      </c>
      <c r="E25" s="12">
        <f t="shared" si="1"/>
        <v>15.479341055999992</v>
      </c>
      <c r="F25" s="11">
        <v>0.4</v>
      </c>
      <c r="G25" s="11" t="s">
        <v>81</v>
      </c>
      <c r="H25" s="11">
        <v>5</v>
      </c>
      <c r="I25" s="11">
        <v>5</v>
      </c>
      <c r="J25" s="11">
        <v>100</v>
      </c>
      <c r="K25" s="12">
        <f t="shared" si="2"/>
        <v>15.20876260695001</v>
      </c>
      <c r="L25" s="11"/>
      <c r="M25" s="11"/>
      <c r="N25" s="11">
        <v>30</v>
      </c>
    </row>
    <row r="26" spans="1:14" x14ac:dyDescent="0.25">
      <c r="A26" s="11" t="s">
        <v>51</v>
      </c>
      <c r="B26" s="11">
        <v>212</v>
      </c>
      <c r="C26" s="11"/>
      <c r="D26" s="11">
        <v>6</v>
      </c>
      <c r="E26" s="12">
        <f t="shared" si="1"/>
        <v>18.575209267199991</v>
      </c>
      <c r="F26" s="11">
        <v>0.4</v>
      </c>
      <c r="G26" s="11" t="s">
        <v>81</v>
      </c>
      <c r="H26" s="11">
        <v>5</v>
      </c>
      <c r="I26" s="11">
        <v>5</v>
      </c>
      <c r="J26" s="11">
        <v>100</v>
      </c>
      <c r="K26" s="12">
        <f t="shared" si="2"/>
        <v>16.729638867645011</v>
      </c>
      <c r="L26" s="11"/>
      <c r="M26" s="11"/>
      <c r="N26" s="11">
        <v>30</v>
      </c>
    </row>
    <row r="27" spans="1:14" x14ac:dyDescent="0.25">
      <c r="A27" s="13" t="s">
        <v>147</v>
      </c>
      <c r="B27" s="13">
        <v>301</v>
      </c>
      <c r="C27" s="13" t="s">
        <v>148</v>
      </c>
      <c r="D27" s="13">
        <v>4</v>
      </c>
      <c r="E27" s="13">
        <v>5</v>
      </c>
      <c r="F27" s="13">
        <v>0.2</v>
      </c>
      <c r="G27" s="13" t="s">
        <v>152</v>
      </c>
      <c r="H27" s="13">
        <v>5</v>
      </c>
      <c r="I27" s="13">
        <v>5</v>
      </c>
      <c r="J27" s="13"/>
      <c r="K27" s="14">
        <v>10</v>
      </c>
      <c r="L27" s="13"/>
      <c r="M27" s="13"/>
      <c r="N27" s="13"/>
    </row>
    <row r="28" spans="1:14" x14ac:dyDescent="0.25">
      <c r="A28" s="13" t="s">
        <v>149</v>
      </c>
      <c r="B28" s="13">
        <v>302</v>
      </c>
      <c r="C28" s="13"/>
      <c r="D28" s="13">
        <v>4</v>
      </c>
      <c r="E28" s="13">
        <v>5</v>
      </c>
      <c r="F28" s="13">
        <v>0.2</v>
      </c>
      <c r="G28" s="13" t="s">
        <v>154</v>
      </c>
      <c r="H28" s="13">
        <v>5</v>
      </c>
      <c r="I28" s="13">
        <v>5</v>
      </c>
      <c r="J28" s="13"/>
      <c r="K28" s="14">
        <v>10</v>
      </c>
      <c r="L28" s="13"/>
      <c r="M28" s="13"/>
      <c r="N28" s="13"/>
    </row>
    <row r="29" spans="1:14" x14ac:dyDescent="0.25">
      <c r="A29" s="13" t="s">
        <v>150</v>
      </c>
      <c r="B29" s="13">
        <v>303</v>
      </c>
      <c r="C29" s="13"/>
      <c r="D29" s="13">
        <v>4</v>
      </c>
      <c r="E29" s="13">
        <v>5</v>
      </c>
      <c r="F29" s="13">
        <v>0.2</v>
      </c>
      <c r="G29" s="13" t="s">
        <v>153</v>
      </c>
      <c r="H29" s="13">
        <v>5</v>
      </c>
      <c r="I29" s="13">
        <v>5</v>
      </c>
      <c r="J29" s="13"/>
      <c r="K29" s="14">
        <v>10</v>
      </c>
      <c r="L29" s="13"/>
      <c r="M29" s="13"/>
      <c r="N29" s="1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xportTowers">
                <anchor moveWithCells="1" sizeWithCells="1">
                  <from>
                    <xdr:col>15</xdr:col>
                    <xdr:colOff>57150</xdr:colOff>
                    <xdr:row>3</xdr:row>
                    <xdr:rowOff>38100</xdr:rowOff>
                  </from>
                  <to>
                    <xdr:col>16</xdr:col>
                    <xdr:colOff>476250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EDA4-5A76-4874-864F-ED80563116C5}">
  <sheetPr codeName="Sheet2"/>
  <dimension ref="A1:Q6"/>
  <sheetViews>
    <sheetView zoomScale="130" zoomScaleNormal="130" workbookViewId="0">
      <selection activeCell="G4" sqref="G4"/>
    </sheetView>
  </sheetViews>
  <sheetFormatPr defaultRowHeight="15" x14ac:dyDescent="0.25"/>
  <cols>
    <col min="1" max="1" width="12.85546875" bestFit="1" customWidth="1"/>
    <col min="7" max="7" width="10.85546875" bestFit="1" customWidth="1"/>
    <col min="8" max="8" width="11.140625" bestFit="1" customWidth="1"/>
    <col min="16" max="16" width="10.28515625" bestFit="1" customWidth="1"/>
  </cols>
  <sheetData>
    <row r="1" spans="1:17" x14ac:dyDescent="0.25">
      <c r="A1" t="s">
        <v>0</v>
      </c>
      <c r="B1" t="s">
        <v>1</v>
      </c>
      <c r="C1" t="s">
        <v>52</v>
      </c>
      <c r="D1" t="s">
        <v>53</v>
      </c>
      <c r="E1" t="s">
        <v>54</v>
      </c>
      <c r="F1" t="s">
        <v>55</v>
      </c>
      <c r="G1" t="s">
        <v>56</v>
      </c>
      <c r="H1" t="s">
        <v>57</v>
      </c>
      <c r="I1" t="s">
        <v>58</v>
      </c>
      <c r="J1" t="s">
        <v>59</v>
      </c>
      <c r="K1" t="s">
        <v>60</v>
      </c>
    </row>
    <row r="2" spans="1:17" x14ac:dyDescent="0.25">
      <c r="A2" t="s">
        <v>61</v>
      </c>
      <c r="B2">
        <v>1</v>
      </c>
      <c r="C2">
        <f>25*Q3</f>
        <v>25</v>
      </c>
      <c r="D2">
        <v>1</v>
      </c>
      <c r="E2">
        <v>1</v>
      </c>
      <c r="F2">
        <v>1</v>
      </c>
      <c r="G2">
        <f>0.8*Q2</f>
        <v>0.8</v>
      </c>
      <c r="H2">
        <f>G2</f>
        <v>0.8</v>
      </c>
      <c r="I2">
        <v>10</v>
      </c>
      <c r="J2">
        <v>-1</v>
      </c>
      <c r="K2">
        <v>10</v>
      </c>
      <c r="P2" t="s">
        <v>111</v>
      </c>
      <c r="Q2">
        <v>1</v>
      </c>
    </row>
    <row r="3" spans="1:17" x14ac:dyDescent="0.25">
      <c r="A3" t="s">
        <v>62</v>
      </c>
      <c r="B3">
        <v>2</v>
      </c>
      <c r="C3">
        <f>40*Q3</f>
        <v>40</v>
      </c>
      <c r="D3">
        <v>1</v>
      </c>
      <c r="E3">
        <v>1</v>
      </c>
      <c r="F3">
        <v>1</v>
      </c>
      <c r="G3">
        <f>1.1*Q2</f>
        <v>1.1000000000000001</v>
      </c>
      <c r="H3">
        <f t="shared" ref="H3:H6" si="0">G3</f>
        <v>1.1000000000000001</v>
      </c>
      <c r="I3">
        <v>10</v>
      </c>
      <c r="J3">
        <v>-1</v>
      </c>
      <c r="K3">
        <v>15</v>
      </c>
      <c r="P3" t="s">
        <v>145</v>
      </c>
      <c r="Q3">
        <v>1</v>
      </c>
    </row>
    <row r="4" spans="1:17" x14ac:dyDescent="0.25">
      <c r="A4" t="s">
        <v>63</v>
      </c>
      <c r="B4">
        <v>3</v>
      </c>
      <c r="C4">
        <f>60*Q3</f>
        <v>60</v>
      </c>
      <c r="D4">
        <v>1</v>
      </c>
      <c r="E4">
        <v>1</v>
      </c>
      <c r="F4">
        <v>1</v>
      </c>
      <c r="G4">
        <f>0.75*Q2</f>
        <v>0.75</v>
      </c>
      <c r="H4">
        <f t="shared" si="0"/>
        <v>0.75</v>
      </c>
      <c r="I4">
        <v>10</v>
      </c>
      <c r="J4">
        <v>-1</v>
      </c>
      <c r="K4">
        <v>20</v>
      </c>
      <c r="M4" s="1" t="s">
        <v>72</v>
      </c>
      <c r="N4" s="1" t="s">
        <v>73</v>
      </c>
    </row>
    <row r="5" spans="1:17" x14ac:dyDescent="0.25">
      <c r="A5" t="s">
        <v>64</v>
      </c>
      <c r="B5">
        <v>4</v>
      </c>
      <c r="C5">
        <f>80*Q3</f>
        <v>80</v>
      </c>
      <c r="D5">
        <v>1</v>
      </c>
      <c r="E5">
        <v>1</v>
      </c>
      <c r="F5">
        <v>1</v>
      </c>
      <c r="G5">
        <f>1.3*Q2</f>
        <v>1.3</v>
      </c>
      <c r="H5">
        <f t="shared" si="0"/>
        <v>1.3</v>
      </c>
      <c r="I5">
        <v>10</v>
      </c>
      <c r="J5">
        <v>-1</v>
      </c>
      <c r="K5">
        <v>25</v>
      </c>
    </row>
    <row r="6" spans="1:17" x14ac:dyDescent="0.25">
      <c r="A6" t="s">
        <v>65</v>
      </c>
      <c r="B6">
        <v>5</v>
      </c>
      <c r="C6">
        <f>100*Q3</f>
        <v>100</v>
      </c>
      <c r="D6">
        <v>1</v>
      </c>
      <c r="E6">
        <v>1</v>
      </c>
      <c r="F6">
        <v>1</v>
      </c>
      <c r="G6">
        <f>1.3*Q2</f>
        <v>1.3</v>
      </c>
      <c r="H6">
        <f t="shared" si="0"/>
        <v>1.3</v>
      </c>
      <c r="I6">
        <v>10</v>
      </c>
      <c r="J6">
        <v>-1</v>
      </c>
      <c r="K6">
        <v>30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portMobs">
                <anchor moveWithCells="1" sizeWithCells="1">
                  <from>
                    <xdr:col>12</xdr:col>
                    <xdr:colOff>28575</xdr:colOff>
                    <xdr:row>4</xdr:row>
                    <xdr:rowOff>66675</xdr:rowOff>
                  </from>
                  <to>
                    <xdr:col>13</xdr:col>
                    <xdr:colOff>447675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4771-8D63-4C20-A62A-9A9EA08C0C68}">
  <sheetPr codeName="Sheet3"/>
  <dimension ref="A1:AA24"/>
  <sheetViews>
    <sheetView zoomScaleNormal="100" workbookViewId="0">
      <selection activeCell="T16" sqref="T16"/>
    </sheetView>
  </sheetViews>
  <sheetFormatPr defaultRowHeight="15" x14ac:dyDescent="0.25"/>
  <cols>
    <col min="4" max="4" width="12.7109375" bestFit="1" customWidth="1"/>
    <col min="5" max="5" width="14.7109375" customWidth="1"/>
    <col min="6" max="6" width="13.140625" bestFit="1" customWidth="1"/>
    <col min="7" max="8" width="3.85546875" style="1" customWidth="1"/>
    <col min="9" max="9" width="3.85546875" style="4" customWidth="1"/>
    <col min="10" max="10" width="3.85546875" style="1" customWidth="1"/>
    <col min="11" max="11" width="3.85546875" style="4" customWidth="1"/>
    <col min="12" max="12" width="3.85546875" customWidth="1"/>
    <col min="13" max="13" width="3.85546875" style="4" customWidth="1"/>
    <col min="14" max="14" width="3.85546875" customWidth="1"/>
    <col min="15" max="15" width="3.85546875" style="4" customWidth="1"/>
    <col min="16" max="16" width="3.85546875" customWidth="1"/>
    <col min="17" max="17" width="3.85546875" style="4" customWidth="1"/>
    <col min="21" max="21" width="15.85546875" bestFit="1" customWidth="1"/>
    <col min="26" max="26" width="15.140625" bestFit="1" customWidth="1"/>
  </cols>
  <sheetData>
    <row r="1" spans="1:27" x14ac:dyDescent="0.25">
      <c r="A1" t="s">
        <v>0</v>
      </c>
      <c r="B1" t="s">
        <v>1</v>
      </c>
      <c r="C1" t="s">
        <v>66</v>
      </c>
      <c r="D1" t="s">
        <v>67</v>
      </c>
      <c r="E1" t="s">
        <v>78</v>
      </c>
      <c r="F1" t="s">
        <v>79</v>
      </c>
    </row>
    <row r="2" spans="1:27" x14ac:dyDescent="0.25">
      <c r="A2" t="s">
        <v>68</v>
      </c>
      <c r="B2">
        <v>1</v>
      </c>
      <c r="C2">
        <v>8</v>
      </c>
      <c r="D2" s="3">
        <f>1*V2</f>
        <v>0.5</v>
      </c>
      <c r="E2" s="2" t="str">
        <f>_xlfn.TEXTJOIN(",",TRUE,H2,J2,L2,N2,P2)</f>
        <v>1</v>
      </c>
      <c r="F2" s="2" t="str">
        <f>_xlfn.TEXTJOIN(",",TRUE,I2,K2,M2,O2,Q2)</f>
        <v>3</v>
      </c>
      <c r="H2" s="1">
        <v>1</v>
      </c>
      <c r="I2" s="4">
        <v>3</v>
      </c>
      <c r="L2" s="1"/>
      <c r="N2" s="1"/>
      <c r="P2" s="1"/>
      <c r="U2" t="s">
        <v>110</v>
      </c>
      <c r="V2">
        <v>0.5</v>
      </c>
    </row>
    <row r="3" spans="1:27" x14ac:dyDescent="0.25">
      <c r="A3" t="s">
        <v>69</v>
      </c>
      <c r="B3">
        <v>2</v>
      </c>
      <c r="C3">
        <v>9</v>
      </c>
      <c r="D3" s="3">
        <f>0.95*D2</f>
        <v>0.47499999999999998</v>
      </c>
      <c r="E3" s="2" t="str">
        <f t="shared" ref="E3:E24" si="0">_xlfn.TEXTJOIN(",",TRUE,H3,J3,L3,N3,P3)</f>
        <v>1</v>
      </c>
      <c r="F3" s="2" t="str">
        <f t="shared" ref="F3:F24" si="1">_xlfn.TEXTJOIN(",",TRUE,I3,K3,M3,O3,Q3)</f>
        <v>5</v>
      </c>
      <c r="H3" s="1">
        <v>1</v>
      </c>
      <c r="I3" s="4">
        <v>5</v>
      </c>
      <c r="L3" s="1"/>
      <c r="N3" s="1"/>
      <c r="P3" s="1"/>
    </row>
    <row r="4" spans="1:27" x14ac:dyDescent="0.25">
      <c r="A4" t="s">
        <v>70</v>
      </c>
      <c r="B4">
        <v>3</v>
      </c>
      <c r="C4">
        <v>10</v>
      </c>
      <c r="D4" s="3">
        <f t="shared" ref="D4:D24" si="2">0.95*D3</f>
        <v>0.45124999999999998</v>
      </c>
      <c r="E4" s="2" t="str">
        <f t="shared" si="0"/>
        <v>1,2</v>
      </c>
      <c r="F4" s="2" t="str">
        <f t="shared" si="1"/>
        <v>5,1</v>
      </c>
      <c r="H4" s="1">
        <v>1</v>
      </c>
      <c r="I4" s="4">
        <v>5</v>
      </c>
      <c r="J4" s="1">
        <v>2</v>
      </c>
      <c r="K4" s="4">
        <v>1</v>
      </c>
      <c r="L4" s="1"/>
      <c r="N4" s="1"/>
      <c r="P4" s="1"/>
      <c r="R4" s="1" t="s">
        <v>72</v>
      </c>
      <c r="S4" s="1" t="s">
        <v>109</v>
      </c>
    </row>
    <row r="5" spans="1:27" x14ac:dyDescent="0.25">
      <c r="A5" t="s">
        <v>71</v>
      </c>
      <c r="B5">
        <v>4</v>
      </c>
      <c r="C5">
        <v>12</v>
      </c>
      <c r="D5" s="3">
        <f t="shared" si="2"/>
        <v>0.42868749999999994</v>
      </c>
      <c r="E5" s="2" t="str">
        <f t="shared" si="0"/>
        <v>1,2</v>
      </c>
      <c r="F5" s="2" t="str">
        <f t="shared" si="1"/>
        <v>6,2</v>
      </c>
      <c r="H5" s="1">
        <v>1</v>
      </c>
      <c r="I5" s="4">
        <v>6</v>
      </c>
      <c r="J5" s="1">
        <v>2</v>
      </c>
      <c r="K5" s="4">
        <v>2</v>
      </c>
      <c r="L5" s="1"/>
      <c r="N5" s="1"/>
      <c r="P5" s="1"/>
    </row>
    <row r="6" spans="1:27" x14ac:dyDescent="0.25">
      <c r="A6" t="s">
        <v>74</v>
      </c>
      <c r="B6">
        <v>5</v>
      </c>
      <c r="C6">
        <v>12</v>
      </c>
      <c r="D6" s="3">
        <f t="shared" si="2"/>
        <v>0.40725312499999994</v>
      </c>
      <c r="E6" s="2" t="str">
        <f t="shared" si="0"/>
        <v>1,2</v>
      </c>
      <c r="F6" s="2" t="str">
        <f t="shared" si="1"/>
        <v>3,3</v>
      </c>
      <c r="H6" s="1">
        <v>1</v>
      </c>
      <c r="I6" s="4">
        <v>3</v>
      </c>
      <c r="J6" s="1">
        <v>2</v>
      </c>
      <c r="K6" s="4">
        <v>3</v>
      </c>
      <c r="L6" s="1"/>
      <c r="N6" s="1"/>
      <c r="P6" s="1"/>
    </row>
    <row r="7" spans="1:27" x14ac:dyDescent="0.25">
      <c r="A7" t="s">
        <v>75</v>
      </c>
      <c r="B7">
        <v>6</v>
      </c>
      <c r="C7">
        <v>12</v>
      </c>
      <c r="D7" s="3">
        <f t="shared" si="2"/>
        <v>0.38689046874999994</v>
      </c>
      <c r="E7" s="2" t="str">
        <f t="shared" si="0"/>
        <v>2,3</v>
      </c>
      <c r="F7" s="2" t="str">
        <f t="shared" si="1"/>
        <v>4,2</v>
      </c>
      <c r="J7" s="1">
        <v>2</v>
      </c>
      <c r="K7" s="4">
        <v>4</v>
      </c>
      <c r="L7" s="1">
        <v>3</v>
      </c>
      <c r="M7" s="4">
        <v>2</v>
      </c>
      <c r="N7" s="1"/>
      <c r="P7" s="1"/>
    </row>
    <row r="8" spans="1:27" x14ac:dyDescent="0.25">
      <c r="A8" t="s">
        <v>76</v>
      </c>
      <c r="B8">
        <v>7</v>
      </c>
      <c r="C8">
        <v>12</v>
      </c>
      <c r="D8" s="3">
        <f t="shared" si="2"/>
        <v>0.3675459453124999</v>
      </c>
      <c r="E8" s="2" t="str">
        <f t="shared" si="0"/>
        <v>2</v>
      </c>
      <c r="F8" s="2" t="str">
        <f t="shared" si="1"/>
        <v>8</v>
      </c>
      <c r="G8"/>
      <c r="J8" s="1">
        <v>2</v>
      </c>
      <c r="K8" s="4">
        <v>8</v>
      </c>
      <c r="L8" s="1"/>
      <c r="N8" s="1"/>
      <c r="P8" s="1"/>
    </row>
    <row r="9" spans="1:27" x14ac:dyDescent="0.25">
      <c r="A9" t="s">
        <v>77</v>
      </c>
      <c r="B9">
        <v>8</v>
      </c>
      <c r="C9">
        <v>12</v>
      </c>
      <c r="D9" s="3">
        <f t="shared" si="2"/>
        <v>0.34916864804687486</v>
      </c>
      <c r="E9" s="2" t="str">
        <f t="shared" si="0"/>
        <v>1,2</v>
      </c>
      <c r="F9" s="2" t="str">
        <f t="shared" si="1"/>
        <v>12,1</v>
      </c>
      <c r="H9" s="1">
        <v>1</v>
      </c>
      <c r="I9" s="4">
        <v>12</v>
      </c>
      <c r="J9" s="1">
        <v>2</v>
      </c>
      <c r="K9" s="4">
        <v>1</v>
      </c>
      <c r="L9" s="1"/>
      <c r="N9" s="1"/>
      <c r="P9" s="1"/>
    </row>
    <row r="10" spans="1:27" x14ac:dyDescent="0.25">
      <c r="A10" t="s">
        <v>94</v>
      </c>
      <c r="B10">
        <v>9</v>
      </c>
      <c r="C10">
        <v>12</v>
      </c>
      <c r="D10" s="3">
        <f t="shared" si="2"/>
        <v>0.33171021564453113</v>
      </c>
      <c r="E10" s="2" t="str">
        <f t="shared" si="0"/>
        <v>1</v>
      </c>
      <c r="F10" s="2" t="str">
        <f t="shared" si="1"/>
        <v>15</v>
      </c>
      <c r="H10" s="1">
        <v>1</v>
      </c>
      <c r="I10" s="4">
        <v>15</v>
      </c>
      <c r="L10" s="1"/>
      <c r="N10" s="1"/>
      <c r="P10" s="1"/>
      <c r="U10" s="2"/>
    </row>
    <row r="11" spans="1:27" x14ac:dyDescent="0.25">
      <c r="A11" t="s">
        <v>95</v>
      </c>
      <c r="B11">
        <v>10</v>
      </c>
      <c r="C11">
        <v>12</v>
      </c>
      <c r="D11" s="3">
        <f t="shared" si="2"/>
        <v>0.31512470486230454</v>
      </c>
      <c r="E11" s="2" t="str">
        <f t="shared" si="0"/>
        <v>2,3</v>
      </c>
      <c r="F11" s="2" t="str">
        <f t="shared" si="1"/>
        <v>8,2</v>
      </c>
      <c r="J11" s="1">
        <v>2</v>
      </c>
      <c r="K11" s="4">
        <v>8</v>
      </c>
      <c r="L11" s="1">
        <v>3</v>
      </c>
      <c r="M11" s="4">
        <v>2</v>
      </c>
      <c r="N11" s="1"/>
      <c r="P11" s="1"/>
      <c r="U11" s="2"/>
    </row>
    <row r="12" spans="1:27" x14ac:dyDescent="0.25">
      <c r="A12" t="s">
        <v>96</v>
      </c>
      <c r="B12">
        <v>11</v>
      </c>
      <c r="C12">
        <v>12</v>
      </c>
      <c r="D12" s="3">
        <f t="shared" si="2"/>
        <v>0.29936846961918928</v>
      </c>
      <c r="E12" s="2" t="str">
        <f t="shared" si="0"/>
        <v>1,2,3</v>
      </c>
      <c r="F12" s="2" t="str">
        <f t="shared" si="1"/>
        <v>10,4,3</v>
      </c>
      <c r="H12" s="1">
        <v>1</v>
      </c>
      <c r="I12" s="4">
        <v>10</v>
      </c>
      <c r="J12" s="1">
        <v>2</v>
      </c>
      <c r="K12" s="4">
        <v>4</v>
      </c>
      <c r="L12" s="1">
        <v>3</v>
      </c>
      <c r="M12" s="4">
        <v>3</v>
      </c>
      <c r="N12" s="1"/>
      <c r="P12" s="1"/>
      <c r="U12" s="2"/>
    </row>
    <row r="13" spans="1:27" x14ac:dyDescent="0.25">
      <c r="A13" t="s">
        <v>97</v>
      </c>
      <c r="B13">
        <v>12</v>
      </c>
      <c r="C13">
        <v>12</v>
      </c>
      <c r="D13" s="3">
        <f t="shared" si="2"/>
        <v>0.28440004613822978</v>
      </c>
      <c r="E13" s="2" t="str">
        <f t="shared" si="0"/>
        <v>2,3</v>
      </c>
      <c r="F13" s="2" t="str">
        <f t="shared" si="1"/>
        <v>10,2</v>
      </c>
      <c r="J13" s="1">
        <v>2</v>
      </c>
      <c r="K13" s="4">
        <v>10</v>
      </c>
      <c r="L13" s="1">
        <v>3</v>
      </c>
      <c r="M13" s="4">
        <v>2</v>
      </c>
      <c r="N13" s="1"/>
      <c r="P13" s="1"/>
      <c r="U13" s="2"/>
    </row>
    <row r="14" spans="1:27" x14ac:dyDescent="0.25">
      <c r="A14" t="s">
        <v>98</v>
      </c>
      <c r="B14">
        <v>13</v>
      </c>
      <c r="C14">
        <v>12</v>
      </c>
      <c r="D14" s="3">
        <f t="shared" si="2"/>
        <v>0.27018004383131827</v>
      </c>
      <c r="E14" s="2" t="str">
        <f t="shared" si="0"/>
        <v>2</v>
      </c>
      <c r="F14" s="2" t="str">
        <f t="shared" si="1"/>
        <v>15</v>
      </c>
      <c r="J14" s="1">
        <v>2</v>
      </c>
      <c r="K14" s="4">
        <v>15</v>
      </c>
      <c r="L14" s="1"/>
      <c r="N14" s="1"/>
      <c r="P14" s="1"/>
      <c r="U14" s="2"/>
    </row>
    <row r="15" spans="1:27" x14ac:dyDescent="0.25">
      <c r="A15" t="s">
        <v>99</v>
      </c>
      <c r="B15">
        <v>14</v>
      </c>
      <c r="C15">
        <v>12</v>
      </c>
      <c r="D15" s="3">
        <f t="shared" si="2"/>
        <v>0.25667104163975235</v>
      </c>
      <c r="E15" s="2" t="str">
        <f t="shared" si="0"/>
        <v>1,2,3</v>
      </c>
      <c r="F15" s="2" t="str">
        <f t="shared" si="1"/>
        <v>5,10,5</v>
      </c>
      <c r="H15" s="1">
        <v>1</v>
      </c>
      <c r="I15" s="4">
        <v>5</v>
      </c>
      <c r="J15" s="1">
        <v>2</v>
      </c>
      <c r="K15" s="4">
        <v>10</v>
      </c>
      <c r="L15" s="1">
        <v>3</v>
      </c>
      <c r="M15" s="4">
        <v>5</v>
      </c>
      <c r="N15" s="1"/>
      <c r="P15" s="1"/>
      <c r="U15" s="2"/>
      <c r="Z15" s="6"/>
      <c r="AA15" s="5"/>
    </row>
    <row r="16" spans="1:27" x14ac:dyDescent="0.25">
      <c r="A16" t="s">
        <v>100</v>
      </c>
      <c r="B16">
        <v>15</v>
      </c>
      <c r="C16">
        <v>12</v>
      </c>
      <c r="D16" s="3">
        <f t="shared" si="2"/>
        <v>0.24383748955776471</v>
      </c>
      <c r="E16" s="2" t="str">
        <f t="shared" si="0"/>
        <v>1,2,3,4</v>
      </c>
      <c r="F16" s="2" t="str">
        <f t="shared" si="1"/>
        <v>3,4,6,2</v>
      </c>
      <c r="H16" s="1">
        <v>1</v>
      </c>
      <c r="I16" s="4">
        <v>3</v>
      </c>
      <c r="J16" s="1">
        <v>2</v>
      </c>
      <c r="K16" s="4">
        <v>4</v>
      </c>
      <c r="L16" s="1">
        <v>3</v>
      </c>
      <c r="M16" s="4">
        <v>6</v>
      </c>
      <c r="N16" s="1">
        <v>4</v>
      </c>
      <c r="O16" s="4">
        <v>2</v>
      </c>
      <c r="P16" s="1"/>
      <c r="U16" s="2"/>
      <c r="Z16" s="6"/>
    </row>
    <row r="17" spans="1:21" x14ac:dyDescent="0.25">
      <c r="A17" t="s">
        <v>101</v>
      </c>
      <c r="B17">
        <v>16</v>
      </c>
      <c r="C17">
        <v>12</v>
      </c>
      <c r="D17" s="3">
        <f t="shared" si="2"/>
        <v>0.23164561507987647</v>
      </c>
      <c r="E17" s="2" t="str">
        <f t="shared" si="0"/>
        <v>3</v>
      </c>
      <c r="F17" s="2" t="str">
        <f t="shared" si="1"/>
        <v>8</v>
      </c>
      <c r="L17" s="1">
        <v>3</v>
      </c>
      <c r="M17" s="4">
        <v>8</v>
      </c>
      <c r="N17" s="1"/>
      <c r="P17" s="1"/>
      <c r="U17" s="2"/>
    </row>
    <row r="18" spans="1:21" x14ac:dyDescent="0.25">
      <c r="A18" t="s">
        <v>102</v>
      </c>
      <c r="B18">
        <v>17</v>
      </c>
      <c r="C18">
        <v>12</v>
      </c>
      <c r="D18" s="3">
        <f t="shared" si="2"/>
        <v>0.22006333432588263</v>
      </c>
      <c r="E18" s="2" t="str">
        <f t="shared" si="0"/>
        <v>3</v>
      </c>
      <c r="F18" s="2" t="str">
        <f t="shared" si="1"/>
        <v>10</v>
      </c>
      <c r="L18" s="1">
        <v>3</v>
      </c>
      <c r="M18" s="4">
        <v>10</v>
      </c>
      <c r="N18" s="1"/>
      <c r="P18" s="1"/>
      <c r="U18" s="2"/>
    </row>
    <row r="19" spans="1:21" x14ac:dyDescent="0.25">
      <c r="A19" t="s">
        <v>103</v>
      </c>
      <c r="B19">
        <v>18</v>
      </c>
      <c r="C19">
        <v>12</v>
      </c>
      <c r="D19" s="3">
        <f t="shared" si="2"/>
        <v>0.20906016760958848</v>
      </c>
      <c r="E19" s="2" t="str">
        <f t="shared" si="0"/>
        <v>3,4</v>
      </c>
      <c r="F19" s="2" t="str">
        <f t="shared" si="1"/>
        <v>5,3</v>
      </c>
      <c r="L19" s="1">
        <v>3</v>
      </c>
      <c r="M19" s="4">
        <v>5</v>
      </c>
      <c r="N19" s="1">
        <v>4</v>
      </c>
      <c r="O19" s="4">
        <v>3</v>
      </c>
      <c r="P19" s="1"/>
      <c r="U19" s="2"/>
    </row>
    <row r="20" spans="1:21" x14ac:dyDescent="0.25">
      <c r="A20" t="s">
        <v>104</v>
      </c>
      <c r="B20">
        <v>19</v>
      </c>
      <c r="C20">
        <v>12</v>
      </c>
      <c r="D20" s="3">
        <f t="shared" si="2"/>
        <v>0.19860715922910904</v>
      </c>
      <c r="E20" s="2" t="str">
        <f t="shared" si="0"/>
        <v>3,4</v>
      </c>
      <c r="F20" s="2" t="str">
        <f t="shared" si="1"/>
        <v>10,1</v>
      </c>
      <c r="L20" s="1">
        <v>3</v>
      </c>
      <c r="M20" s="4">
        <v>10</v>
      </c>
      <c r="N20" s="1">
        <v>4</v>
      </c>
      <c r="O20" s="4">
        <v>1</v>
      </c>
      <c r="P20" s="1"/>
      <c r="U20" s="2"/>
    </row>
    <row r="21" spans="1:21" x14ac:dyDescent="0.25">
      <c r="A21" t="s">
        <v>105</v>
      </c>
      <c r="B21">
        <v>20</v>
      </c>
      <c r="C21">
        <v>12</v>
      </c>
      <c r="D21" s="3">
        <f t="shared" si="2"/>
        <v>0.18867680126765357</v>
      </c>
      <c r="E21" s="2" t="str">
        <f t="shared" si="0"/>
        <v>1,2,3,4,5</v>
      </c>
      <c r="F21" s="2" t="str">
        <f t="shared" si="1"/>
        <v>3,4,10,5,4</v>
      </c>
      <c r="H21" s="1">
        <v>1</v>
      </c>
      <c r="I21" s="4">
        <v>3</v>
      </c>
      <c r="J21" s="1">
        <v>2</v>
      </c>
      <c r="K21" s="4">
        <v>4</v>
      </c>
      <c r="L21" s="1">
        <v>3</v>
      </c>
      <c r="M21" s="4">
        <v>10</v>
      </c>
      <c r="N21" s="1">
        <v>4</v>
      </c>
      <c r="O21" s="4">
        <v>5</v>
      </c>
      <c r="P21" s="1">
        <v>5</v>
      </c>
      <c r="Q21" s="4">
        <v>4</v>
      </c>
    </row>
    <row r="22" spans="1:21" x14ac:dyDescent="0.25">
      <c r="A22" t="s">
        <v>106</v>
      </c>
      <c r="B22">
        <v>21</v>
      </c>
      <c r="C22">
        <v>12</v>
      </c>
      <c r="D22" s="3">
        <f t="shared" si="2"/>
        <v>0.17924296120427088</v>
      </c>
      <c r="E22" s="2" t="str">
        <f t="shared" si="0"/>
        <v>3,4,5</v>
      </c>
      <c r="F22" s="2" t="str">
        <f t="shared" si="1"/>
        <v>10,5,5</v>
      </c>
      <c r="L22" s="1">
        <v>3</v>
      </c>
      <c r="M22" s="4">
        <v>10</v>
      </c>
      <c r="N22" s="1">
        <v>4</v>
      </c>
      <c r="O22" s="4">
        <v>5</v>
      </c>
      <c r="P22" s="1">
        <v>5</v>
      </c>
      <c r="Q22" s="4">
        <v>5</v>
      </c>
    </row>
    <row r="23" spans="1:21" x14ac:dyDescent="0.25">
      <c r="A23" t="s">
        <v>107</v>
      </c>
      <c r="B23">
        <v>22</v>
      </c>
      <c r="C23">
        <v>12</v>
      </c>
      <c r="D23" s="3">
        <f t="shared" si="2"/>
        <v>0.17028081314405732</v>
      </c>
      <c r="E23" s="2" t="str">
        <f t="shared" si="0"/>
        <v>3,4,5</v>
      </c>
      <c r="F23" s="2" t="str">
        <f t="shared" si="1"/>
        <v>10,5,5</v>
      </c>
      <c r="L23" s="1">
        <v>3</v>
      </c>
      <c r="M23" s="4">
        <v>10</v>
      </c>
      <c r="N23" s="1">
        <v>4</v>
      </c>
      <c r="O23" s="4">
        <v>5</v>
      </c>
      <c r="P23" s="1">
        <v>5</v>
      </c>
      <c r="Q23" s="4">
        <v>5</v>
      </c>
    </row>
    <row r="24" spans="1:21" x14ac:dyDescent="0.25">
      <c r="A24" t="s">
        <v>108</v>
      </c>
      <c r="B24">
        <v>23</v>
      </c>
      <c r="C24">
        <v>12</v>
      </c>
      <c r="D24" s="3">
        <f t="shared" si="2"/>
        <v>0.16176677248685445</v>
      </c>
      <c r="E24" s="2" t="str">
        <f t="shared" si="0"/>
        <v>3,4,5</v>
      </c>
      <c r="F24" s="2" t="str">
        <f t="shared" si="1"/>
        <v>10,5,5</v>
      </c>
      <c r="L24" s="1">
        <v>3</v>
      </c>
      <c r="M24" s="4">
        <v>10</v>
      </c>
      <c r="N24" s="1">
        <v>4</v>
      </c>
      <c r="O24" s="4">
        <v>5</v>
      </c>
      <c r="P24" s="1">
        <v>5</v>
      </c>
      <c r="Q24" s="4">
        <v>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xportWaves">
                <anchor moveWithCells="1" sizeWithCells="1">
                  <from>
                    <xdr:col>17</xdr:col>
                    <xdr:colOff>0</xdr:colOff>
                    <xdr:row>4</xdr:row>
                    <xdr:rowOff>47625</xdr:rowOff>
                  </from>
                  <to>
                    <xdr:col>18</xdr:col>
                    <xdr:colOff>419100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65E02-84CC-4BFD-9176-4A1A6CBB947A}">
  <sheetPr codeName="Sheet4"/>
  <dimension ref="A1:H6"/>
  <sheetViews>
    <sheetView workbookViewId="0">
      <selection activeCell="G11" sqref="G11"/>
    </sheetView>
  </sheetViews>
  <sheetFormatPr defaultRowHeight="15" x14ac:dyDescent="0.25"/>
  <cols>
    <col min="1" max="1" width="11.140625" customWidth="1"/>
    <col min="2" max="2" width="13.140625" customWidth="1"/>
    <col min="3" max="3" width="47" customWidth="1"/>
  </cols>
  <sheetData>
    <row r="1" spans="1:8" x14ac:dyDescent="0.25">
      <c r="A1" t="s">
        <v>1</v>
      </c>
      <c r="B1" t="s">
        <v>0</v>
      </c>
      <c r="C1" t="s">
        <v>80</v>
      </c>
    </row>
    <row r="2" spans="1:8" x14ac:dyDescent="0.25">
      <c r="A2">
        <v>1</v>
      </c>
      <c r="B2" t="s">
        <v>81</v>
      </c>
      <c r="C2" t="s">
        <v>86</v>
      </c>
    </row>
    <row r="3" spans="1:8" x14ac:dyDescent="0.25">
      <c r="A3">
        <v>2</v>
      </c>
      <c r="B3" t="s">
        <v>82</v>
      </c>
      <c r="C3" t="s">
        <v>93</v>
      </c>
      <c r="G3" s="1" t="s">
        <v>72</v>
      </c>
      <c r="H3" s="1" t="s">
        <v>90</v>
      </c>
    </row>
    <row r="4" spans="1:8" x14ac:dyDescent="0.25">
      <c r="A4">
        <v>3</v>
      </c>
      <c r="B4" t="s">
        <v>83</v>
      </c>
      <c r="C4" t="s">
        <v>87</v>
      </c>
    </row>
    <row r="5" spans="1:8" x14ac:dyDescent="0.25">
      <c r="A5">
        <v>4</v>
      </c>
      <c r="B5" t="s">
        <v>85</v>
      </c>
      <c r="C5" t="s">
        <v>88</v>
      </c>
    </row>
    <row r="6" spans="1:8" x14ac:dyDescent="0.25">
      <c r="A6">
        <v>5</v>
      </c>
      <c r="B6" t="s">
        <v>84</v>
      </c>
      <c r="C6" t="s">
        <v>89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xportBullets">
                <anchor moveWithCells="1" sizeWithCells="1">
                  <from>
                    <xdr:col>6</xdr:col>
                    <xdr:colOff>0</xdr:colOff>
                    <xdr:row>3</xdr:row>
                    <xdr:rowOff>47625</xdr:rowOff>
                  </from>
                  <to>
                    <xdr:col>7</xdr:col>
                    <xdr:colOff>419100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916E3-7BF8-4C7F-B5A2-43AEF96E7CA3}">
  <sheetPr codeName="Sheet5"/>
  <dimension ref="A1:K14"/>
  <sheetViews>
    <sheetView workbookViewId="0">
      <selection activeCell="H16" sqref="H16"/>
    </sheetView>
  </sheetViews>
  <sheetFormatPr defaultRowHeight="15" x14ac:dyDescent="0.25"/>
  <cols>
    <col min="1" max="1" width="14.140625" customWidth="1"/>
    <col min="2" max="2" width="12.42578125" customWidth="1"/>
    <col min="3" max="3" width="51.28515625" customWidth="1"/>
    <col min="6" max="6" width="11.85546875" bestFit="1" customWidth="1"/>
  </cols>
  <sheetData>
    <row r="1" spans="1:11" x14ac:dyDescent="0.25">
      <c r="A1" t="s">
        <v>1</v>
      </c>
      <c r="B1" t="s">
        <v>112</v>
      </c>
      <c r="C1" t="s">
        <v>114</v>
      </c>
      <c r="D1" t="s">
        <v>115</v>
      </c>
      <c r="E1" t="s">
        <v>116</v>
      </c>
      <c r="F1" t="s">
        <v>117</v>
      </c>
    </row>
    <row r="2" spans="1:11" x14ac:dyDescent="0.25">
      <c r="A2" t="s">
        <v>119</v>
      </c>
      <c r="B2" t="s">
        <v>113</v>
      </c>
      <c r="C2" t="s">
        <v>142</v>
      </c>
      <c r="D2">
        <v>4</v>
      </c>
      <c r="E2">
        <v>36</v>
      </c>
      <c r="F2">
        <v>4</v>
      </c>
    </row>
    <row r="3" spans="1:11" x14ac:dyDescent="0.25">
      <c r="A3" t="s">
        <v>118</v>
      </c>
      <c r="B3" t="s">
        <v>113</v>
      </c>
      <c r="C3" t="s">
        <v>143</v>
      </c>
      <c r="D3">
        <v>3</v>
      </c>
      <c r="E3">
        <v>46</v>
      </c>
      <c r="F3">
        <v>4</v>
      </c>
    </row>
    <row r="4" spans="1:11" x14ac:dyDescent="0.25">
      <c r="A4" t="s">
        <v>121</v>
      </c>
      <c r="B4" t="s">
        <v>113</v>
      </c>
      <c r="C4" t="s">
        <v>120</v>
      </c>
      <c r="D4">
        <v>6</v>
      </c>
      <c r="E4">
        <v>50</v>
      </c>
      <c r="F4">
        <v>4</v>
      </c>
    </row>
    <row r="5" spans="1:11" x14ac:dyDescent="0.25">
      <c r="A5" t="s">
        <v>122</v>
      </c>
      <c r="B5" t="s">
        <v>113</v>
      </c>
      <c r="C5" t="s">
        <v>144</v>
      </c>
      <c r="D5">
        <v>2</v>
      </c>
      <c r="E5">
        <v>50</v>
      </c>
      <c r="F5">
        <v>4</v>
      </c>
      <c r="J5" s="1" t="s">
        <v>72</v>
      </c>
      <c r="K5" s="1" t="s">
        <v>141</v>
      </c>
    </row>
    <row r="6" spans="1:11" x14ac:dyDescent="0.25">
      <c r="A6" t="s">
        <v>123</v>
      </c>
      <c r="B6" t="s">
        <v>113</v>
      </c>
      <c r="C6" t="s">
        <v>124</v>
      </c>
      <c r="D6">
        <v>1</v>
      </c>
      <c r="E6">
        <v>6</v>
      </c>
      <c r="F6">
        <v>2</v>
      </c>
    </row>
    <row r="7" spans="1:11" x14ac:dyDescent="0.25">
      <c r="A7" t="s">
        <v>125</v>
      </c>
      <c r="B7" t="s">
        <v>113</v>
      </c>
      <c r="C7" t="s">
        <v>130</v>
      </c>
      <c r="D7">
        <v>1</v>
      </c>
      <c r="E7">
        <v>6</v>
      </c>
      <c r="F7">
        <v>2</v>
      </c>
    </row>
    <row r="8" spans="1:11" x14ac:dyDescent="0.25">
      <c r="A8" t="s">
        <v>126</v>
      </c>
      <c r="B8" t="s">
        <v>113</v>
      </c>
      <c r="C8" t="s">
        <v>131</v>
      </c>
      <c r="D8">
        <v>1</v>
      </c>
      <c r="E8">
        <v>8</v>
      </c>
      <c r="F8">
        <v>2</v>
      </c>
    </row>
    <row r="9" spans="1:11" x14ac:dyDescent="0.25">
      <c r="A9" t="s">
        <v>127</v>
      </c>
      <c r="B9" t="s">
        <v>113</v>
      </c>
      <c r="C9" t="s">
        <v>132</v>
      </c>
      <c r="D9">
        <v>1</v>
      </c>
      <c r="E9">
        <v>6</v>
      </c>
      <c r="F9">
        <v>2</v>
      </c>
    </row>
    <row r="10" spans="1:11" x14ac:dyDescent="0.25">
      <c r="A10" t="s">
        <v>128</v>
      </c>
      <c r="B10" t="s">
        <v>113</v>
      </c>
      <c r="C10" t="s">
        <v>133</v>
      </c>
      <c r="D10">
        <v>1</v>
      </c>
      <c r="E10">
        <v>10</v>
      </c>
      <c r="F10">
        <v>2</v>
      </c>
    </row>
    <row r="11" spans="1:11" x14ac:dyDescent="0.25">
      <c r="A11" t="s">
        <v>129</v>
      </c>
      <c r="B11" t="s">
        <v>113</v>
      </c>
      <c r="C11" t="s">
        <v>134</v>
      </c>
      <c r="D11">
        <v>1</v>
      </c>
      <c r="E11">
        <v>10</v>
      </c>
      <c r="F11">
        <v>2</v>
      </c>
    </row>
    <row r="12" spans="1:11" x14ac:dyDescent="0.25">
      <c r="A12" t="s">
        <v>135</v>
      </c>
      <c r="B12" t="s">
        <v>113</v>
      </c>
      <c r="C12" t="s">
        <v>138</v>
      </c>
      <c r="D12">
        <v>1</v>
      </c>
      <c r="E12">
        <v>9</v>
      </c>
      <c r="F12">
        <v>2</v>
      </c>
    </row>
    <row r="13" spans="1:11" x14ac:dyDescent="0.25">
      <c r="A13" t="s">
        <v>136</v>
      </c>
      <c r="B13" t="s">
        <v>113</v>
      </c>
      <c r="C13" t="s">
        <v>139</v>
      </c>
      <c r="D13">
        <v>1</v>
      </c>
      <c r="E13">
        <v>9</v>
      </c>
      <c r="F13">
        <v>2</v>
      </c>
    </row>
    <row r="14" spans="1:11" x14ac:dyDescent="0.25">
      <c r="A14" t="s">
        <v>137</v>
      </c>
      <c r="B14" t="s">
        <v>113</v>
      </c>
      <c r="C14" t="s">
        <v>140</v>
      </c>
      <c r="D14">
        <v>1</v>
      </c>
      <c r="E14">
        <v>9</v>
      </c>
      <c r="F14">
        <v>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exportAnimations">
                <anchor moveWithCells="1" sizeWithCells="1">
                  <from>
                    <xdr:col>9</xdr:col>
                    <xdr:colOff>0</xdr:colOff>
                    <xdr:row>5</xdr:row>
                    <xdr:rowOff>47625</xdr:rowOff>
                  </from>
                  <to>
                    <xdr:col>10</xdr:col>
                    <xdr:colOff>419100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towers</vt:lpstr>
      <vt:lpstr>mobs</vt:lpstr>
      <vt:lpstr>waves</vt:lpstr>
      <vt:lpstr>bullets</vt:lpstr>
      <vt:lpstr>animations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Remi Lanza</dc:creator>
  <cp:lastModifiedBy>Remi Lanza</cp:lastModifiedBy>
  <dcterms:created xsi:type="dcterms:W3CDTF">2019-04-21T21:08:54Z</dcterms:created>
  <dcterms:modified xsi:type="dcterms:W3CDTF">2019-05-18T13:23:24Z</dcterms:modified>
</cp:coreProperties>
</file>