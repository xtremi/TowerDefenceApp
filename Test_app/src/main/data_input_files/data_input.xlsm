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GK\AGK_libs2\apps\Test_app_tower_defence\Test_app\src\main\data_input_files\"/>
    </mc:Choice>
  </mc:AlternateContent>
  <xr:revisionPtr revIDLastSave="0" documentId="13_ncr:1_{CA68A66E-08D7-4CF9-A0EF-8D938D453548}" xr6:coauthVersionLast="44" xr6:coauthVersionMax="44" xr10:uidLastSave="{00000000-0000-0000-0000-000000000000}"/>
  <bookViews>
    <workbookView xWindow="28680" yWindow="1545" windowWidth="29040" windowHeight="15840" xr2:uid="{F80896C4-579A-4CB2-9F3C-9634C19A8189}"/>
  </bookViews>
  <sheets>
    <sheet name="towers" sheetId="1" r:id="rId1"/>
    <sheet name="mobs" sheetId="2" r:id="rId2"/>
    <sheet name="waves" sheetId="3" r:id="rId3"/>
    <sheet name="bullets" sheetId="4" r:id="rId4"/>
    <sheet name="animations" sheetId="5" r:id="rId5"/>
  </sheets>
  <functionGroups builtInGroupCount="19"/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8" i="1" l="1"/>
  <c r="K34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9" i="1"/>
  <c r="X8" i="1"/>
  <c r="X7" i="1"/>
  <c r="X6" i="1"/>
  <c r="X5" i="1"/>
  <c r="X4" i="1"/>
  <c r="X3" i="1"/>
  <c r="X2" i="1"/>
  <c r="Y8" i="1"/>
  <c r="Y23" i="1"/>
  <c r="Y16" i="1"/>
  <c r="Y25" i="1"/>
  <c r="Y14" i="1"/>
  <c r="Y3" i="1"/>
  <c r="Y2" i="1"/>
  <c r="Y7" i="1"/>
  <c r="Y4" i="1"/>
  <c r="Y24" i="1"/>
  <c r="Y27" i="1"/>
  <c r="Y29" i="1"/>
  <c r="Y20" i="1"/>
  <c r="Y28" i="1"/>
  <c r="Y10" i="1"/>
  <c r="Y12" i="1"/>
  <c r="Y26" i="1"/>
  <c r="Y22" i="1"/>
  <c r="Y5" i="1"/>
  <c r="Y9" i="1"/>
  <c r="Y11" i="1"/>
  <c r="Y6" i="1"/>
  <c r="Y13" i="1"/>
  <c r="Y15" i="1"/>
  <c r="Y18" i="1"/>
  <c r="Y17" i="1"/>
  <c r="Y19" i="1"/>
  <c r="Y21" i="1"/>
  <c r="F15" i="1" l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M15" i="1"/>
  <c r="M2" i="1"/>
  <c r="G3" i="2"/>
  <c r="G6" i="2"/>
  <c r="G5" i="2"/>
  <c r="E4" i="3"/>
  <c r="F4" i="3"/>
  <c r="E5" i="3"/>
  <c r="F5" i="3"/>
  <c r="E6" i="3"/>
  <c r="F6" i="3"/>
  <c r="E7" i="3"/>
  <c r="F7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E15" i="3"/>
  <c r="F15" i="3"/>
  <c r="E16" i="3"/>
  <c r="F16" i="3"/>
  <c r="E17" i="3"/>
  <c r="F17" i="3"/>
  <c r="E18" i="3"/>
  <c r="F18" i="3"/>
  <c r="E19" i="3"/>
  <c r="F19" i="3"/>
  <c r="E20" i="3"/>
  <c r="F20" i="3"/>
  <c r="E21" i="3"/>
  <c r="F21" i="3"/>
  <c r="E22" i="3"/>
  <c r="F22" i="3"/>
  <c r="E23" i="3"/>
  <c r="F23" i="3"/>
  <c r="E24" i="3"/>
  <c r="F24" i="3"/>
  <c r="E25" i="3"/>
  <c r="F25" i="3"/>
  <c r="E3" i="3"/>
  <c r="F3" i="3"/>
  <c r="I21" i="1"/>
  <c r="I9" i="1"/>
  <c r="I24" i="1"/>
  <c r="I23" i="1"/>
  <c r="I19" i="1"/>
  <c r="I5" i="1"/>
  <c r="I4" i="1"/>
  <c r="I17" i="1"/>
  <c r="I22" i="1"/>
  <c r="I7" i="1"/>
  <c r="I3" i="1"/>
  <c r="I14" i="1"/>
  <c r="I6" i="1"/>
  <c r="I11" i="1"/>
  <c r="I8" i="1"/>
  <c r="I10" i="1"/>
  <c r="I25" i="1"/>
  <c r="I16" i="1"/>
  <c r="I18" i="1"/>
  <c r="I26" i="1"/>
  <c r="I2" i="1"/>
  <c r="I12" i="1"/>
  <c r="I13" i="1"/>
  <c r="I20" i="1"/>
  <c r="I27" i="1"/>
  <c r="I15" i="1"/>
  <c r="M3" i="1" l="1"/>
  <c r="M16" i="1"/>
  <c r="C6" i="2"/>
  <c r="C5" i="2"/>
  <c r="C4" i="2"/>
  <c r="C3" i="2"/>
  <c r="C2" i="2"/>
  <c r="M17" i="1" l="1"/>
  <c r="M4" i="1"/>
  <c r="G4" i="2"/>
  <c r="M5" i="1" l="1"/>
  <c r="M18" i="1"/>
  <c r="H6" i="2"/>
  <c r="H5" i="2"/>
  <c r="H4" i="2"/>
  <c r="H3" i="2"/>
  <c r="G2" i="2"/>
  <c r="H2" i="2" s="1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M19" i="1" l="1"/>
  <c r="M6" i="1"/>
  <c r="M7" i="1" l="1"/>
  <c r="M20" i="1"/>
  <c r="M21" i="1" l="1"/>
  <c r="M8" i="1"/>
  <c r="M9" i="1" l="1"/>
  <c r="M22" i="1"/>
  <c r="M23" i="1" l="1"/>
  <c r="M10" i="1"/>
  <c r="M11" i="1" l="1"/>
  <c r="M24" i="1"/>
  <c r="M25" i="1" l="1"/>
  <c r="M12" i="1"/>
  <c r="M13" i="1" l="1"/>
  <c r="M26" i="1"/>
  <c r="M14" i="1" l="1"/>
</calcChain>
</file>

<file path=xl/sharedStrings.xml><?xml version="1.0" encoding="utf-8"?>
<sst xmlns="http://schemas.openxmlformats.org/spreadsheetml/2006/main" count="304" uniqueCount="189">
  <si>
    <t>name</t>
  </si>
  <si>
    <t>id</t>
  </si>
  <si>
    <t>range</t>
  </si>
  <si>
    <t>upgrades</t>
  </si>
  <si>
    <t>rotate_speed</t>
  </si>
  <si>
    <t>reload_time</t>
  </si>
  <si>
    <t>bullet_stats.width</t>
  </si>
  <si>
    <t>bullet_stats.height</t>
  </si>
  <si>
    <t>bullet_stats.damage</t>
  </si>
  <si>
    <t>bullet_stats.speed</t>
  </si>
  <si>
    <t>price</t>
  </si>
  <si>
    <t>T001</t>
  </si>
  <si>
    <t>TB001</t>
  </si>
  <si>
    <t>102,103</t>
  </si>
  <si>
    <t>TB002</t>
  </si>
  <si>
    <t>104,105</t>
  </si>
  <si>
    <t>TB003</t>
  </si>
  <si>
    <t>105,106</t>
  </si>
  <si>
    <t>TB004</t>
  </si>
  <si>
    <t>107,108</t>
  </si>
  <si>
    <t>TB005</t>
  </si>
  <si>
    <t>TB006</t>
  </si>
  <si>
    <t>108,109</t>
  </si>
  <si>
    <t>TB007</t>
  </si>
  <si>
    <t>110,111</t>
  </si>
  <si>
    <t>TB008</t>
  </si>
  <si>
    <t>TB009</t>
  </si>
  <si>
    <t>111,112</t>
  </si>
  <si>
    <t>TB010</t>
  </si>
  <si>
    <t>TB011</t>
  </si>
  <si>
    <t>TB012</t>
  </si>
  <si>
    <t>TA001</t>
  </si>
  <si>
    <t>202,203</t>
  </si>
  <si>
    <t>TA002</t>
  </si>
  <si>
    <t>204,205</t>
  </si>
  <si>
    <t>TA003</t>
  </si>
  <si>
    <t>205,206</t>
  </si>
  <si>
    <t>TA004</t>
  </si>
  <si>
    <t>207,208</t>
  </si>
  <si>
    <t>TA005</t>
  </si>
  <si>
    <t>TA006</t>
  </si>
  <si>
    <t>208,209</t>
  </si>
  <si>
    <t>TA007</t>
  </si>
  <si>
    <t>210,211</t>
  </si>
  <si>
    <t>TA008</t>
  </si>
  <si>
    <t>TA009</t>
  </si>
  <si>
    <t>211,212</t>
  </si>
  <si>
    <t>TA010</t>
  </si>
  <si>
    <t>TA011</t>
  </si>
  <si>
    <t>TA012</t>
  </si>
  <si>
    <t>health</t>
  </si>
  <si>
    <t>armor1</t>
  </si>
  <si>
    <t>armor2</t>
  </si>
  <si>
    <t>armor3</t>
  </si>
  <si>
    <t>speed_min</t>
  </si>
  <si>
    <t>speed_max</t>
  </si>
  <si>
    <t>size.x</t>
  </si>
  <si>
    <t>size.y</t>
  </si>
  <si>
    <t>reward</t>
  </si>
  <si>
    <t>Ball_01</t>
  </si>
  <si>
    <t>Car_01</t>
  </si>
  <si>
    <t>Planet_01</t>
  </si>
  <si>
    <t>Spaceship_01</t>
  </si>
  <si>
    <t>Spider_01</t>
  </si>
  <si>
    <t>duration</t>
  </si>
  <si>
    <t>release_time</t>
  </si>
  <si>
    <t>W1</t>
  </si>
  <si>
    <t>W2</t>
  </si>
  <si>
    <t>W3</t>
  </si>
  <si>
    <t>W4</t>
  </si>
  <si>
    <t>A1</t>
  </si>
  <si>
    <t>K6</t>
  </si>
  <si>
    <t>W5</t>
  </si>
  <si>
    <t>W6</t>
  </si>
  <si>
    <t>W7</t>
  </si>
  <si>
    <t>W8</t>
  </si>
  <si>
    <t>mob_types</t>
  </si>
  <si>
    <t>mob_amounts</t>
  </si>
  <si>
    <t>path</t>
  </si>
  <si>
    <t>stone</t>
  </si>
  <si>
    <t>lazer</t>
  </si>
  <si>
    <t>bullet_01</t>
  </si>
  <si>
    <t>bullet_03</t>
  </si>
  <si>
    <t>bullet_02</t>
  </si>
  <si>
    <t>images\bullets\stone\stone_16x16.png</t>
  </si>
  <si>
    <t>images\bullets\bullet_01\bullet_01_16x16.png</t>
  </si>
  <si>
    <t>images\bullets\bullet_02\bullet_02_16x16.png</t>
  </si>
  <si>
    <t>images\bullets\bullet_03\bullet_03_16x16.png</t>
  </si>
  <si>
    <t>bullet_name</t>
  </si>
  <si>
    <t>images\bullets\lazer\lazer_2x16.png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</si>
  <si>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</si>
  <si>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</si>
  <si>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</si>
  <si>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</si>
  <si>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</si>
  <si>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</si>
  <si>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</si>
  <si>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</si>
  <si>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</si>
  <si>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</si>
  <si>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</si>
  <si>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</si>
  <si>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</si>
  <si>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</si>
  <si>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</si>
  <si>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F24</t>
  </si>
  <si>
    <t>rel_time_mp</t>
  </si>
  <si>
    <t>speed_mp</t>
  </si>
  <si>
    <t>type</t>
  </si>
  <si>
    <t>multi</t>
  </si>
  <si>
    <t>prefix</t>
  </si>
  <si>
    <t>start_n</t>
  </si>
  <si>
    <t>end_n</t>
  </si>
  <si>
    <t>n_padded_0</t>
  </si>
  <si>
    <t>white-explode</t>
  </si>
  <si>
    <t>red-explode</t>
  </si>
  <si>
    <t>images\explosions\blue-flash\DebrisExplode</t>
  </si>
  <si>
    <t>blue-flash</t>
  </si>
  <si>
    <t>dynamite</t>
  </si>
  <si>
    <t>short-expl-01</t>
  </si>
  <si>
    <t>images\explosions\short\explosion-1\explosion-1-</t>
  </si>
  <si>
    <t>short-expl-02</t>
  </si>
  <si>
    <t>short-expl-03</t>
  </si>
  <si>
    <t>short-expl-04</t>
  </si>
  <si>
    <t>short-expl-05</t>
  </si>
  <si>
    <t>short-expl-06</t>
  </si>
  <si>
    <t>images\explosions\short\explosion-2\explosion-2-</t>
  </si>
  <si>
    <t>images\explosions\short\explosion-3\</t>
  </si>
  <si>
    <t>images\explosions\short\explosion-4\</t>
  </si>
  <si>
    <t>images\explosions\short\explosion-5\explosion-5-</t>
  </si>
  <si>
    <t>images\explosions\short\explosion-6\explosion-6-</t>
  </si>
  <si>
    <t>short-expl-07</t>
  </si>
  <si>
    <t>short-expl-08</t>
  </si>
  <si>
    <t>short-expl-09</t>
  </si>
  <si>
    <t>images\explosions\short\explosion-7\</t>
  </si>
  <si>
    <t>images\explosions\short\explosion-8\</t>
  </si>
  <si>
    <t>images\explosions\short\explosion-9\</t>
  </si>
  <si>
    <t>F14</t>
  </si>
  <si>
    <t>images\explosions\red-explode\redexplode</t>
  </si>
  <si>
    <t>images\explosions\white-explode\explodewhite</t>
  </si>
  <si>
    <t>images\explosions\dynamite\dynoexplode</t>
  </si>
  <si>
    <t>health_mp</t>
  </si>
  <si>
    <t>rot_speed_mp</t>
  </si>
  <si>
    <t>TS001</t>
  </si>
  <si>
    <t>TS002</t>
  </si>
  <si>
    <t>TS003</t>
  </si>
  <si>
    <t>aimless</t>
  </si>
  <si>
    <t>aim</t>
  </si>
  <si>
    <t>aoe</t>
  </si>
  <si>
    <t>101,201,301</t>
  </si>
  <si>
    <t>bullet_buffer</t>
  </si>
  <si>
    <t>bullet buffer multiplier</t>
  </si>
  <si>
    <t>string</t>
  </si>
  <si>
    <t>integer</t>
  </si>
  <si>
    <t>float</t>
  </si>
  <si>
    <t>aoe.n_dirs</t>
  </si>
  <si>
    <t>cell_size</t>
  </si>
  <si>
    <t>DRT</t>
  </si>
  <si>
    <t>reload frames</t>
  </si>
  <si>
    <t>travel to end frames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</si>
  <si>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</si>
  <si>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</si>
  <si>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</si>
  <si>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</si>
  <si>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</si>
  <si>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</si>
  <si>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</si>
  <si>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</si>
  <si>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</si>
  <si>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</si>
  <si>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</si>
  <si>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</si>
  <si>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</si>
  <si>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</si>
  <si>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</si>
  <si>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</si>
  <si>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</si>
  <si>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aim-rocket</t>
  </si>
  <si>
    <t>rocket</t>
  </si>
  <si>
    <t>images\bullets\rocket\rocket_01.png</t>
  </si>
  <si>
    <t>302,303</t>
  </si>
  <si>
    <t>freeze</t>
  </si>
  <si>
    <t>images\bullets\freeze\freeze-01.png</t>
  </si>
  <si>
    <t>C8</t>
  </si>
  <si>
    <t>bullet_stats.type</t>
  </si>
  <si>
    <t>normal</t>
  </si>
  <si>
    <t>follow</t>
  </si>
  <si>
    <t>P29</t>
  </si>
  <si>
    <t>effect-still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</si>
</sst>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kr&quot;\ * #,##0.00_-;\-&quot;kr&quot;\ * #,##0.00_-;_-&quot;kr&quot;\ * &quot;-&quot;??_-;_-@_-"/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Font="1"/>
    <xf numFmtId="9" fontId="0" fillId="0" borderId="0" xfId="0" applyNumberFormat="1"/>
    <xf numFmtId="44" fontId="0" fillId="0" borderId="0" xfId="0" applyNumberFormat="1"/>
    <xf numFmtId="0" fontId="0" fillId="2" borderId="0" xfId="0" applyFill="1"/>
    <xf numFmtId="2" fontId="0" fillId="2" borderId="0" xfId="0" applyNumberFormat="1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2" fontId="0" fillId="4" borderId="0" xfId="0" applyNumberFormat="1" applyFill="1"/>
    <xf numFmtId="0" fontId="0" fillId="5" borderId="0" xfId="0" applyFill="1"/>
    <xf numFmtId="2" fontId="0" fillId="5" borderId="0" xfId="0" applyNumberForma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164" fontId="0" fillId="2" borderId="0" xfId="0" applyNumberFormat="1" applyFill="1"/>
    <xf numFmtId="164" fontId="0" fillId="3" borderId="0" xfId="0" applyNumberFormat="1" applyFill="1"/>
    <xf numFmtId="164" fontId="0" fillId="4" borderId="0" xfId="0" applyNumberFormat="1" applyFill="1"/>
    <xf numFmtId="164" fontId="0" fillId="5" borderId="0" xfId="0" applyNumberFormat="1" applyFill="1"/>
    <xf numFmtId="1" fontId="0" fillId="2" borderId="0" xfId="0" applyNumberFormat="1" applyFill="1"/>
    <xf numFmtId="1" fontId="0" fillId="3" borderId="0" xfId="0" applyNumberFormat="1" applyFill="1"/>
    <xf numFmtId="1" fontId="0" fillId="4" borderId="0" xfId="0" applyNumberFormat="1" applyFill="1"/>
    <xf numFmtId="1" fontId="0" fillId="5" borderId="0" xfId="0" applyNumberFormat="1" applyFill="1"/>
    <xf numFmtId="164" fontId="0" fillId="0" borderId="0" xfId="0" applyNumberFormat="1"/>
    <xf numFmtId="0" fontId="0" fillId="6" borderId="0" xfId="0" applyFill="1"/>
    <xf numFmtId="1" fontId="0" fillId="7" borderId="0" xfId="0" applyNumberFormat="1" applyFill="1"/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5" borderId="0" xfId="0" applyFill="1" applyAlignment="1">
      <alignment horizontal="right"/>
    </xf>
  </cellXfs>
  <cellStyles count="1"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</xdr:colOff>
          <xdr:row>3</xdr:row>
          <xdr:rowOff>38100</xdr:rowOff>
        </xdr:from>
        <xdr:to>
          <xdr:col>18</xdr:col>
          <xdr:colOff>476250</xdr:colOff>
          <xdr:row>4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4</xdr:row>
          <xdr:rowOff>66675</xdr:rowOff>
        </xdr:from>
        <xdr:to>
          <xdr:col>13</xdr:col>
          <xdr:colOff>447675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47625</xdr:rowOff>
        </xdr:from>
        <xdr:to>
          <xdr:col>18</xdr:col>
          <xdr:colOff>419100</xdr:colOff>
          <xdr:row>5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47625</xdr:rowOff>
        </xdr:from>
        <xdr:to>
          <xdr:col>7</xdr:col>
          <xdr:colOff>419100</xdr:colOff>
          <xdr:row>4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47625</xdr:rowOff>
        </xdr:from>
        <xdr:to>
          <xdr:col>10</xdr:col>
          <xdr:colOff>419100</xdr:colOff>
          <xdr:row>6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Siemens/NX%2012.0/ugii/ug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ceil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1F6F5A-6EAD-4217-B50E-CB86F25F839F}" name="Table1" displayName="Table1" ref="A1:Q25" totalsRowShown="0" headerRowDxfId="15" dataDxfId="14">
  <autoFilter ref="A1:Q25" xr:uid="{2F04DD65-2D1E-4964-971D-F8FEEE4F7E3D}"/>
  <tableColumns count="17">
    <tableColumn id="1" xr3:uid="{EBC4954F-B85A-4D4A-8B26-3C0E854694A6}" name="Column1"/>
    <tableColumn id="2" xr3:uid="{591302F1-DFC7-42D9-8045-8DE3A3D99BC0}" name="Column2"/>
    <tableColumn id="3" xr3:uid="{AB0D409C-226E-443D-86D0-22E711B0643C}" name="Column3"/>
    <tableColumn id="4" xr3:uid="{D34E6F16-E615-465D-8713-D4AD661897C2}" name="Column4" dataDxfId="13">
      <calculatedColumnFormula>0.95*D1</calculatedColumnFormula>
    </tableColumn>
    <tableColumn id="5" xr3:uid="{DE454E6F-0B9A-43E1-8469-9D67FF48F288}" name="Column5" dataDxfId="12">
      <calculatedColumnFormula>_xlfn.TEXTJOIN(",",TRUE,H2,J2,L2,N2,P2)</calculatedColumnFormula>
    </tableColumn>
    <tableColumn id="6" xr3:uid="{C5B899C4-44AB-45F9-B294-6A23999EF14F}" name="Column6" dataDxfId="11">
      <calculatedColumnFormula>_xlfn.TEXTJOIN(",",TRUE,I2,K2,M2,O2,Q2)</calculatedColumnFormula>
    </tableColumn>
    <tableColumn id="7" xr3:uid="{FB2CBD26-86FE-427C-9D9D-7F2A258016E3}" name="Column7" dataDxfId="10"/>
    <tableColumn id="8" xr3:uid="{5F7E7D06-51C5-4916-99C1-C1DCC65EB92A}" name="Column8" dataDxfId="9"/>
    <tableColumn id="9" xr3:uid="{BF603519-BB70-4EE6-BDD9-16BB841E9CA0}" name="Column9" dataDxfId="8"/>
    <tableColumn id="10" xr3:uid="{1CA1FF0F-8E06-46B7-A2B6-01E95D4688F3}" name="Column10" dataDxfId="7"/>
    <tableColumn id="11" xr3:uid="{C118EB1C-B490-419F-B256-6ECD69FD9904}" name="Column11" dataDxfId="6"/>
    <tableColumn id="12" xr3:uid="{A9F4C01B-6A18-44B7-9BFC-767889475B10}" name="Column12" dataDxfId="5"/>
    <tableColumn id="13" xr3:uid="{55D1EAC6-F99E-42FF-B36B-64167D58B2A9}" name="Column13" dataDxfId="4"/>
    <tableColumn id="14" xr3:uid="{16F38FC3-979E-402F-8079-6516C4BF0CA8}" name="Column14" dataDxfId="3"/>
    <tableColumn id="15" xr3:uid="{188C3F2D-5758-4177-B50B-A0F16F979218}" name="Column15" dataDxfId="2"/>
    <tableColumn id="16" xr3:uid="{5051A296-BC6E-4974-9EB3-8CC6FE08301F}" name="Column16" dataDxfId="1"/>
    <tableColumn id="17" xr3:uid="{294AB26D-28A8-4677-AD94-4966BDE5FA21}" name="Column17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2D02-822E-4D62-85A6-11F0B47597D2}">
  <sheetPr codeName="Sheet1"/>
  <dimension ref="A1:Y37"/>
  <sheetViews>
    <sheetView tabSelected="1" zoomScaleNormal="100" workbookViewId="0">
      <selection activeCell="L14" sqref="L14"/>
    </sheetView>
  </sheetViews>
  <sheetFormatPr defaultRowHeight="15" x14ac:dyDescent="0.25"/>
  <cols>
    <col min="3" max="3" width="10.7109375" customWidth="1"/>
    <col min="4" max="4" width="14.28515625" customWidth="1"/>
    <col min="6" max="6" width="12.85546875" bestFit="1" customWidth="1"/>
    <col min="7" max="9" width="15.140625" customWidth="1"/>
    <col min="10" max="10" width="17.42578125" bestFit="1" customWidth="1"/>
    <col min="11" max="11" width="18" bestFit="1" customWidth="1"/>
    <col min="12" max="12" width="19.28515625" bestFit="1" customWidth="1"/>
    <col min="13" max="13" width="17.7109375" bestFit="1" customWidth="1"/>
    <col min="14" max="14" width="15.42578125" bestFit="1" customWidth="1"/>
    <col min="15" max="15" width="28.5703125" customWidth="1"/>
    <col min="17" max="17" width="2.42578125" customWidth="1"/>
    <col min="20" max="20" width="2" customWidth="1"/>
    <col min="21" max="21" width="22" bestFit="1" customWidth="1"/>
    <col min="24" max="24" width="13.42578125" bestFit="1" customWidth="1"/>
    <col min="25" max="25" width="19.140625" bestFit="1" customWidth="1"/>
  </cols>
  <sheetData>
    <row r="1" spans="1:25" x14ac:dyDescent="0.25">
      <c r="A1" t="s">
        <v>0</v>
      </c>
      <c r="B1" t="s">
        <v>1</v>
      </c>
      <c r="C1" t="s">
        <v>108</v>
      </c>
      <c r="D1" t="s">
        <v>3</v>
      </c>
      <c r="E1" t="s">
        <v>2</v>
      </c>
      <c r="F1" t="s">
        <v>4</v>
      </c>
      <c r="G1" t="s">
        <v>5</v>
      </c>
      <c r="H1" t="s">
        <v>88</v>
      </c>
      <c r="I1" t="s">
        <v>150</v>
      </c>
      <c r="J1" t="s">
        <v>6</v>
      </c>
      <c r="K1" t="s">
        <v>7</v>
      </c>
      <c r="L1" t="s">
        <v>8</v>
      </c>
      <c r="M1" t="s">
        <v>9</v>
      </c>
      <c r="N1" t="s">
        <v>155</v>
      </c>
      <c r="O1" t="s">
        <v>184</v>
      </c>
      <c r="P1" t="s">
        <v>10</v>
      </c>
      <c r="X1" s="28" t="s">
        <v>158</v>
      </c>
      <c r="Y1" s="28" t="s">
        <v>159</v>
      </c>
    </row>
    <row r="2" spans="1:25" x14ac:dyDescent="0.25">
      <c r="A2" s="7" t="s">
        <v>11</v>
      </c>
      <c r="B2" s="7">
        <v>1</v>
      </c>
      <c r="C2" s="7" t="s">
        <v>146</v>
      </c>
      <c r="D2" s="15" t="s">
        <v>149</v>
      </c>
      <c r="E2" s="19">
        <v>2</v>
      </c>
      <c r="F2" s="7"/>
      <c r="G2" s="8">
        <v>0.2</v>
      </c>
      <c r="H2" s="7" t="s">
        <v>79</v>
      </c>
      <c r="I2" s="7">
        <f>[1]!ceil($V$6*Y2/X2)+1</f>
        <v>2</v>
      </c>
      <c r="J2" s="19">
        <v>3</v>
      </c>
      <c r="K2" s="19">
        <v>3</v>
      </c>
      <c r="L2" s="19">
        <v>10</v>
      </c>
      <c r="M2" s="8">
        <f>4*V3</f>
        <v>6</v>
      </c>
      <c r="N2" s="23"/>
      <c r="O2" s="30" t="s">
        <v>185</v>
      </c>
      <c r="P2" s="19">
        <v>10</v>
      </c>
      <c r="X2" s="29">
        <f>FLOOR(G2/$V$8,1)</f>
        <v>20</v>
      </c>
      <c r="Y2" s="29">
        <f>[1]!ceil(((0.5+E2)*$V$7)/M2)</f>
        <v>11</v>
      </c>
    </row>
    <row r="3" spans="1:25" x14ac:dyDescent="0.25">
      <c r="A3" s="9" t="s">
        <v>12</v>
      </c>
      <c r="B3" s="9">
        <v>101</v>
      </c>
      <c r="C3" s="9" t="s">
        <v>146</v>
      </c>
      <c r="D3" s="16" t="s">
        <v>13</v>
      </c>
      <c r="E3" s="20">
        <v>3</v>
      </c>
      <c r="F3" s="9"/>
      <c r="G3" s="10">
        <v>0.5</v>
      </c>
      <c r="H3" s="9" t="s">
        <v>80</v>
      </c>
      <c r="I3" s="9">
        <f>[1]!ceil($V$6*Y3/X3)+1</f>
        <v>2</v>
      </c>
      <c r="J3" s="20">
        <v>5</v>
      </c>
      <c r="K3" s="20">
        <v>1</v>
      </c>
      <c r="L3" s="20">
        <v>15</v>
      </c>
      <c r="M3" s="10">
        <f>M2*1.075</f>
        <v>6.4499999999999993</v>
      </c>
      <c r="N3" s="24"/>
      <c r="O3" s="31" t="s">
        <v>185</v>
      </c>
      <c r="P3" s="20">
        <v>11</v>
      </c>
      <c r="R3" s="1" t="s">
        <v>70</v>
      </c>
      <c r="S3" s="1" t="s">
        <v>187</v>
      </c>
      <c r="U3" t="s">
        <v>107</v>
      </c>
      <c r="V3">
        <v>1.5</v>
      </c>
      <c r="X3" s="24">
        <f t="shared" ref="X3:X29" si="0">FLOOR(G3/$V$8,1)</f>
        <v>50</v>
      </c>
      <c r="Y3" s="24">
        <f>[1]!ceil(((0.5+E3)*$V$7)/M3)</f>
        <v>14</v>
      </c>
    </row>
    <row r="4" spans="1:25" x14ac:dyDescent="0.25">
      <c r="A4" s="9" t="s">
        <v>14</v>
      </c>
      <c r="B4" s="9">
        <v>102</v>
      </c>
      <c r="C4" s="9" t="s">
        <v>146</v>
      </c>
      <c r="D4" s="16" t="s">
        <v>15</v>
      </c>
      <c r="E4" s="20">
        <v>3</v>
      </c>
      <c r="F4" s="9"/>
      <c r="G4" s="10">
        <v>0.15</v>
      </c>
      <c r="H4" s="9" t="s">
        <v>80</v>
      </c>
      <c r="I4" s="9">
        <f>[1]!ceil($V$6*Y4/X4)+1</f>
        <v>3</v>
      </c>
      <c r="J4" s="20">
        <v>5</v>
      </c>
      <c r="K4" s="20">
        <v>1</v>
      </c>
      <c r="L4" s="20">
        <v>20</v>
      </c>
      <c r="M4" s="10">
        <f t="shared" ref="M4:M14" si="1">M3*1.1</f>
        <v>7.0949999999999998</v>
      </c>
      <c r="N4" s="24"/>
      <c r="O4" s="31" t="s">
        <v>185</v>
      </c>
      <c r="P4" s="20">
        <v>12</v>
      </c>
      <c r="U4" t="s">
        <v>142</v>
      </c>
      <c r="V4">
        <v>2.5</v>
      </c>
      <c r="X4" s="24">
        <f t="shared" si="0"/>
        <v>15</v>
      </c>
      <c r="Y4" s="24">
        <f>[1]!ceil(((0.5+E4)*$V$7)/M4)</f>
        <v>13</v>
      </c>
    </row>
    <row r="5" spans="1:25" x14ac:dyDescent="0.25">
      <c r="A5" s="9" t="s">
        <v>16</v>
      </c>
      <c r="B5" s="9">
        <v>103</v>
      </c>
      <c r="C5" s="9" t="s">
        <v>146</v>
      </c>
      <c r="D5" s="16" t="s">
        <v>17</v>
      </c>
      <c r="E5" s="20">
        <v>3</v>
      </c>
      <c r="F5" s="9"/>
      <c r="G5" s="10">
        <v>0.2</v>
      </c>
      <c r="H5" s="9" t="s">
        <v>81</v>
      </c>
      <c r="I5" s="9">
        <f>[1]!ceil($V$6*Y5/X5)+1</f>
        <v>2</v>
      </c>
      <c r="J5" s="20">
        <v>5</v>
      </c>
      <c r="K5" s="20">
        <v>5</v>
      </c>
      <c r="L5" s="20">
        <v>20</v>
      </c>
      <c r="M5" s="10">
        <f t="shared" si="1"/>
        <v>7.8045</v>
      </c>
      <c r="N5" s="24"/>
      <c r="O5" s="31" t="s">
        <v>185</v>
      </c>
      <c r="P5" s="20">
        <v>15</v>
      </c>
      <c r="X5" s="24">
        <f t="shared" si="0"/>
        <v>20</v>
      </c>
      <c r="Y5" s="24">
        <f>[1]!ceil(((0.5+E5)*$V$7)/M5)</f>
        <v>12</v>
      </c>
    </row>
    <row r="6" spans="1:25" x14ac:dyDescent="0.25">
      <c r="A6" s="9" t="s">
        <v>18</v>
      </c>
      <c r="B6" s="9">
        <v>104</v>
      </c>
      <c r="C6" s="9" t="s">
        <v>146</v>
      </c>
      <c r="D6" s="16" t="s">
        <v>19</v>
      </c>
      <c r="E6" s="20">
        <v>4</v>
      </c>
      <c r="F6" s="9"/>
      <c r="G6" s="10">
        <v>0.1</v>
      </c>
      <c r="H6" s="9" t="s">
        <v>83</v>
      </c>
      <c r="I6" s="9">
        <f>[1]!ceil($V$6*Y6/X6)+1</f>
        <v>3</v>
      </c>
      <c r="J6" s="20">
        <v>5</v>
      </c>
      <c r="K6" s="20">
        <v>5</v>
      </c>
      <c r="L6" s="20">
        <v>30</v>
      </c>
      <c r="M6" s="10">
        <f t="shared" si="1"/>
        <v>8.584950000000001</v>
      </c>
      <c r="N6" s="24"/>
      <c r="O6" s="31" t="s">
        <v>185</v>
      </c>
      <c r="P6" s="20">
        <v>15</v>
      </c>
      <c r="U6" t="s">
        <v>151</v>
      </c>
      <c r="V6">
        <v>1.2</v>
      </c>
      <c r="X6" s="24">
        <f t="shared" si="0"/>
        <v>10</v>
      </c>
      <c r="Y6" s="24">
        <f>[1]!ceil(((0.5+E6)*$V$7)/M6)</f>
        <v>14</v>
      </c>
    </row>
    <row r="7" spans="1:25" x14ac:dyDescent="0.25">
      <c r="A7" s="9" t="s">
        <v>20</v>
      </c>
      <c r="B7" s="9">
        <v>105</v>
      </c>
      <c r="C7" s="9" t="s">
        <v>146</v>
      </c>
      <c r="D7" s="16">
        <v>108</v>
      </c>
      <c r="E7" s="20">
        <v>4</v>
      </c>
      <c r="F7" s="9"/>
      <c r="G7" s="10">
        <v>0.5</v>
      </c>
      <c r="H7" s="9" t="s">
        <v>82</v>
      </c>
      <c r="I7" s="9">
        <f>[1]!ceil($V$6*Y7/X7)+1</f>
        <v>2</v>
      </c>
      <c r="J7" s="20">
        <v>5</v>
      </c>
      <c r="K7" s="20">
        <v>5</v>
      </c>
      <c r="L7" s="20">
        <v>50</v>
      </c>
      <c r="M7" s="10">
        <f t="shared" si="1"/>
        <v>9.4434450000000023</v>
      </c>
      <c r="N7" s="24"/>
      <c r="O7" s="31" t="s">
        <v>185</v>
      </c>
      <c r="P7" s="20">
        <v>20</v>
      </c>
      <c r="U7" t="s">
        <v>156</v>
      </c>
      <c r="V7" s="27">
        <v>25</v>
      </c>
      <c r="X7" s="24">
        <f t="shared" si="0"/>
        <v>50</v>
      </c>
      <c r="Y7" s="24">
        <f>[1]!ceil(((0.5+E7)*$V$7)/M7)</f>
        <v>12</v>
      </c>
    </row>
    <row r="8" spans="1:25" x14ac:dyDescent="0.25">
      <c r="A8" s="9" t="s">
        <v>21</v>
      </c>
      <c r="B8" s="9">
        <v>106</v>
      </c>
      <c r="C8" s="9" t="s">
        <v>146</v>
      </c>
      <c r="D8" s="16" t="s">
        <v>22</v>
      </c>
      <c r="E8" s="20">
        <v>4</v>
      </c>
      <c r="F8" s="9"/>
      <c r="G8" s="10">
        <v>0.5</v>
      </c>
      <c r="H8" s="9" t="s">
        <v>81</v>
      </c>
      <c r="I8" s="9">
        <f>[1]!ceil($V$6*Y8/X8)+1</f>
        <v>2</v>
      </c>
      <c r="J8" s="20">
        <v>5</v>
      </c>
      <c r="K8" s="20">
        <v>5</v>
      </c>
      <c r="L8" s="20">
        <v>50</v>
      </c>
      <c r="M8" s="10">
        <f t="shared" si="1"/>
        <v>10.387789500000004</v>
      </c>
      <c r="N8" s="24"/>
      <c r="O8" s="31" t="s">
        <v>185</v>
      </c>
      <c r="P8" s="20">
        <v>20</v>
      </c>
      <c r="U8" t="s">
        <v>157</v>
      </c>
      <c r="V8">
        <v>0.01</v>
      </c>
      <c r="X8" s="24">
        <f t="shared" si="0"/>
        <v>50</v>
      </c>
      <c r="Y8" s="24">
        <f>[1]!ceil(((0.5+E8)*$V$7)/M8)</f>
        <v>11</v>
      </c>
    </row>
    <row r="9" spans="1:25" x14ac:dyDescent="0.25">
      <c r="A9" s="9" t="s">
        <v>23</v>
      </c>
      <c r="B9" s="9">
        <v>107</v>
      </c>
      <c r="C9" s="9" t="s">
        <v>146</v>
      </c>
      <c r="D9" s="16" t="s">
        <v>24</v>
      </c>
      <c r="E9" s="20">
        <v>5</v>
      </c>
      <c r="F9" s="9"/>
      <c r="G9" s="10">
        <v>1</v>
      </c>
      <c r="H9" s="9" t="s">
        <v>83</v>
      </c>
      <c r="I9" s="9">
        <f>[1]!ceil($V$6*Y9/X9)+1</f>
        <v>2</v>
      </c>
      <c r="J9" s="20">
        <v>5</v>
      </c>
      <c r="K9" s="20">
        <v>5</v>
      </c>
      <c r="L9" s="20">
        <v>50</v>
      </c>
      <c r="M9" s="10">
        <f t="shared" si="1"/>
        <v>11.426568450000005</v>
      </c>
      <c r="N9" s="24"/>
      <c r="O9" s="31" t="s">
        <v>185</v>
      </c>
      <c r="P9" s="20">
        <v>20</v>
      </c>
      <c r="X9" s="24">
        <f t="shared" si="0"/>
        <v>100</v>
      </c>
      <c r="Y9" s="24">
        <f>[1]!ceil(((0.5+E9)*$V$7)/M9)</f>
        <v>13</v>
      </c>
    </row>
    <row r="10" spans="1:25" x14ac:dyDescent="0.25">
      <c r="A10" s="9" t="s">
        <v>25</v>
      </c>
      <c r="B10" s="9">
        <v>108</v>
      </c>
      <c r="C10" s="9" t="s">
        <v>146</v>
      </c>
      <c r="D10" s="16">
        <v>111</v>
      </c>
      <c r="E10" s="20">
        <v>5</v>
      </c>
      <c r="F10" s="9"/>
      <c r="G10" s="10">
        <v>0.1</v>
      </c>
      <c r="H10" s="9" t="s">
        <v>82</v>
      </c>
      <c r="I10" s="9">
        <f>[1]!ceil($V$6*Y10/X10)+1</f>
        <v>3</v>
      </c>
      <c r="J10" s="20">
        <v>5</v>
      </c>
      <c r="K10" s="20">
        <v>5</v>
      </c>
      <c r="L10" s="20">
        <v>50</v>
      </c>
      <c r="M10" s="10">
        <f t="shared" si="1"/>
        <v>12.569225295000006</v>
      </c>
      <c r="N10" s="24"/>
      <c r="O10" s="31" t="s">
        <v>185</v>
      </c>
      <c r="P10" s="20">
        <v>20</v>
      </c>
      <c r="X10" s="24">
        <f t="shared" si="0"/>
        <v>10</v>
      </c>
      <c r="Y10" s="24">
        <f>[1]!ceil(((0.5+E10)*$V$7)/M10)</f>
        <v>11</v>
      </c>
    </row>
    <row r="11" spans="1:25" x14ac:dyDescent="0.25">
      <c r="A11" s="9" t="s">
        <v>26</v>
      </c>
      <c r="B11" s="9">
        <v>109</v>
      </c>
      <c r="C11" s="9" t="s">
        <v>146</v>
      </c>
      <c r="D11" s="16" t="s">
        <v>27</v>
      </c>
      <c r="E11" s="20">
        <v>5</v>
      </c>
      <c r="F11" s="9"/>
      <c r="G11" s="10">
        <v>0.1</v>
      </c>
      <c r="H11" s="9" t="s">
        <v>81</v>
      </c>
      <c r="I11" s="9">
        <f>[1]!ceil($V$6*Y11/X11)+1</f>
        <v>3</v>
      </c>
      <c r="J11" s="20">
        <v>5</v>
      </c>
      <c r="K11" s="20">
        <v>5</v>
      </c>
      <c r="L11" s="20">
        <v>50</v>
      </c>
      <c r="M11" s="10">
        <f t="shared" si="1"/>
        <v>13.826147824500008</v>
      </c>
      <c r="N11" s="24"/>
      <c r="O11" s="31" t="s">
        <v>185</v>
      </c>
      <c r="P11" s="20">
        <v>20</v>
      </c>
      <c r="X11" s="24">
        <f t="shared" si="0"/>
        <v>10</v>
      </c>
      <c r="Y11" s="24">
        <f>[1]!ceil(((0.5+E11)*$V$7)/M11)</f>
        <v>10</v>
      </c>
    </row>
    <row r="12" spans="1:25" x14ac:dyDescent="0.25">
      <c r="A12" s="9" t="s">
        <v>28</v>
      </c>
      <c r="B12" s="9">
        <v>110</v>
      </c>
      <c r="C12" s="9" t="s">
        <v>146</v>
      </c>
      <c r="D12" s="16"/>
      <c r="E12" s="20">
        <v>6</v>
      </c>
      <c r="F12" s="9"/>
      <c r="G12" s="10">
        <v>0.4</v>
      </c>
      <c r="H12" s="9" t="s">
        <v>83</v>
      </c>
      <c r="I12" s="9">
        <f>[1]!ceil($V$6*Y12/X12)+1</f>
        <v>2</v>
      </c>
      <c r="J12" s="20">
        <v>5</v>
      </c>
      <c r="K12" s="20">
        <v>5</v>
      </c>
      <c r="L12" s="20">
        <v>100</v>
      </c>
      <c r="M12" s="10">
        <f t="shared" si="1"/>
        <v>15.20876260695001</v>
      </c>
      <c r="N12" s="24"/>
      <c r="O12" s="31" t="s">
        <v>185</v>
      </c>
      <c r="P12" s="20">
        <v>30</v>
      </c>
      <c r="X12" s="24">
        <f t="shared" si="0"/>
        <v>40</v>
      </c>
      <c r="Y12" s="24">
        <f>[1]!ceil(((0.5+E12)*$V$7)/M12)</f>
        <v>11</v>
      </c>
    </row>
    <row r="13" spans="1:25" x14ac:dyDescent="0.25">
      <c r="A13" s="9" t="s">
        <v>29</v>
      </c>
      <c r="B13" s="9">
        <v>111</v>
      </c>
      <c r="C13" s="9" t="s">
        <v>146</v>
      </c>
      <c r="D13" s="16"/>
      <c r="E13" s="20">
        <v>6</v>
      </c>
      <c r="F13" s="9"/>
      <c r="G13" s="10">
        <v>0.4</v>
      </c>
      <c r="H13" s="9" t="s">
        <v>82</v>
      </c>
      <c r="I13" s="9">
        <f>[1]!ceil($V$6*Y13/X13)+1</f>
        <v>2</v>
      </c>
      <c r="J13" s="20">
        <v>5</v>
      </c>
      <c r="K13" s="20">
        <v>5</v>
      </c>
      <c r="L13" s="20">
        <v>100</v>
      </c>
      <c r="M13" s="10">
        <f t="shared" si="1"/>
        <v>16.729638867645011</v>
      </c>
      <c r="N13" s="24"/>
      <c r="O13" s="31" t="s">
        <v>185</v>
      </c>
      <c r="P13" s="20">
        <v>30</v>
      </c>
      <c r="X13" s="24">
        <f t="shared" si="0"/>
        <v>40</v>
      </c>
      <c r="Y13" s="24">
        <f>[1]!ceil(((0.5+E13)*$V$7)/M13)</f>
        <v>10</v>
      </c>
    </row>
    <row r="14" spans="1:25" x14ac:dyDescent="0.25">
      <c r="A14" s="9" t="s">
        <v>30</v>
      </c>
      <c r="B14" s="9">
        <v>112</v>
      </c>
      <c r="C14" s="9" t="s">
        <v>146</v>
      </c>
      <c r="D14" s="16"/>
      <c r="E14" s="20">
        <v>6</v>
      </c>
      <c r="F14" s="9"/>
      <c r="G14" s="10">
        <v>0.4</v>
      </c>
      <c r="H14" s="9" t="s">
        <v>80</v>
      </c>
      <c r="I14" s="9">
        <f>[1]!ceil($V$6*Y14/X14)+1</f>
        <v>2</v>
      </c>
      <c r="J14" s="20">
        <v>5</v>
      </c>
      <c r="K14" s="20">
        <v>1</v>
      </c>
      <c r="L14" s="20">
        <v>100</v>
      </c>
      <c r="M14" s="10">
        <f t="shared" si="1"/>
        <v>18.402602754409514</v>
      </c>
      <c r="N14" s="24"/>
      <c r="O14" s="31" t="s">
        <v>185</v>
      </c>
      <c r="P14" s="20">
        <v>30</v>
      </c>
      <c r="X14" s="24">
        <f t="shared" si="0"/>
        <v>40</v>
      </c>
      <c r="Y14" s="24">
        <f>[1]!ceil(((0.5+E14)*$V$7)/M14)</f>
        <v>9</v>
      </c>
    </row>
    <row r="15" spans="1:25" x14ac:dyDescent="0.25">
      <c r="A15" s="11" t="s">
        <v>31</v>
      </c>
      <c r="B15" s="11">
        <v>201</v>
      </c>
      <c r="C15" s="11" t="s">
        <v>147</v>
      </c>
      <c r="D15" s="17" t="s">
        <v>32</v>
      </c>
      <c r="E15" s="21">
        <v>3</v>
      </c>
      <c r="F15" s="12">
        <f>1*V4</f>
        <v>2.5</v>
      </c>
      <c r="G15" s="12">
        <v>0.25</v>
      </c>
      <c r="H15" s="11" t="s">
        <v>80</v>
      </c>
      <c r="I15" s="11">
        <f>[1]!ceil($V$6*Y15/X15)+1</f>
        <v>2</v>
      </c>
      <c r="J15" s="21">
        <v>5</v>
      </c>
      <c r="K15" s="21">
        <v>1</v>
      </c>
      <c r="L15" s="21">
        <v>10</v>
      </c>
      <c r="M15" s="12">
        <f>4*V3</f>
        <v>6</v>
      </c>
      <c r="N15" s="25"/>
      <c r="O15" s="32" t="s">
        <v>185</v>
      </c>
      <c r="P15" s="21">
        <v>11</v>
      </c>
      <c r="X15" s="24">
        <f t="shared" si="0"/>
        <v>25</v>
      </c>
      <c r="Y15" s="24">
        <f>[1]!ceil(((0.5+E15)*$V$7)/M15)</f>
        <v>15</v>
      </c>
    </row>
    <row r="16" spans="1:25" x14ac:dyDescent="0.25">
      <c r="A16" s="11" t="s">
        <v>33</v>
      </c>
      <c r="B16" s="11">
        <v>202</v>
      </c>
      <c r="C16" s="11" t="s">
        <v>147</v>
      </c>
      <c r="D16" s="17" t="s">
        <v>34</v>
      </c>
      <c r="E16" s="21">
        <v>3</v>
      </c>
      <c r="F16" s="12">
        <f>F15*1.2</f>
        <v>3</v>
      </c>
      <c r="G16" s="12">
        <v>0.5</v>
      </c>
      <c r="H16" s="11" t="s">
        <v>80</v>
      </c>
      <c r="I16" s="11">
        <f>[1]!ceil($V$6*Y16/X16)+1</f>
        <v>2</v>
      </c>
      <c r="J16" s="21">
        <v>5</v>
      </c>
      <c r="K16" s="21">
        <v>1</v>
      </c>
      <c r="L16" s="21">
        <v>15</v>
      </c>
      <c r="M16" s="12">
        <f>M15*1.075</f>
        <v>6.4499999999999993</v>
      </c>
      <c r="N16" s="25"/>
      <c r="O16" s="32" t="s">
        <v>185</v>
      </c>
      <c r="P16" s="21">
        <v>12</v>
      </c>
      <c r="X16" s="25">
        <f t="shared" si="0"/>
        <v>50</v>
      </c>
      <c r="Y16" s="25">
        <f>[1]!ceil(((0.5+E16)*$V$7)/M16)</f>
        <v>14</v>
      </c>
    </row>
    <row r="17" spans="1:25" x14ac:dyDescent="0.25">
      <c r="A17" s="11" t="s">
        <v>35</v>
      </c>
      <c r="B17" s="11">
        <v>203</v>
      </c>
      <c r="C17" s="11" t="s">
        <v>147</v>
      </c>
      <c r="D17" s="17" t="s">
        <v>36</v>
      </c>
      <c r="E17" s="21">
        <v>3</v>
      </c>
      <c r="F17" s="12">
        <f t="shared" ref="F17:F26" si="2">F16*1.2</f>
        <v>3.5999999999999996</v>
      </c>
      <c r="G17" s="12">
        <v>0.15</v>
      </c>
      <c r="H17" s="11" t="s">
        <v>80</v>
      </c>
      <c r="I17" s="11">
        <f>[1]!ceil($V$6*Y17/X17)+1</f>
        <v>3</v>
      </c>
      <c r="J17" s="21">
        <v>5</v>
      </c>
      <c r="K17" s="21">
        <v>1</v>
      </c>
      <c r="L17" s="21">
        <v>20</v>
      </c>
      <c r="M17" s="12">
        <f t="shared" ref="M17:M26" si="3">M16*1.1</f>
        <v>7.0949999999999998</v>
      </c>
      <c r="N17" s="25"/>
      <c r="O17" s="32" t="s">
        <v>185</v>
      </c>
      <c r="P17" s="21">
        <v>15</v>
      </c>
      <c r="X17" s="25">
        <f t="shared" si="0"/>
        <v>15</v>
      </c>
      <c r="Y17" s="25">
        <f>[1]!ceil(((0.5+E17)*$V$7)/M17)</f>
        <v>13</v>
      </c>
    </row>
    <row r="18" spans="1:25" x14ac:dyDescent="0.25">
      <c r="A18" s="11" t="s">
        <v>37</v>
      </c>
      <c r="B18" s="11">
        <v>204</v>
      </c>
      <c r="C18" s="11" t="s">
        <v>147</v>
      </c>
      <c r="D18" s="17" t="s">
        <v>38</v>
      </c>
      <c r="E18" s="21">
        <v>4</v>
      </c>
      <c r="F18" s="12">
        <f t="shared" si="2"/>
        <v>4.3199999999999994</v>
      </c>
      <c r="G18" s="12">
        <v>0.2</v>
      </c>
      <c r="H18" s="11" t="s">
        <v>80</v>
      </c>
      <c r="I18" s="11">
        <f>[1]!ceil($V$6*Y18/X18)+1</f>
        <v>2</v>
      </c>
      <c r="J18" s="21">
        <v>5</v>
      </c>
      <c r="K18" s="21">
        <v>1</v>
      </c>
      <c r="L18" s="21">
        <v>20</v>
      </c>
      <c r="M18" s="12">
        <f t="shared" si="3"/>
        <v>7.8045</v>
      </c>
      <c r="N18" s="25"/>
      <c r="O18" s="32" t="s">
        <v>185</v>
      </c>
      <c r="P18" s="21">
        <v>15</v>
      </c>
      <c r="X18" s="25">
        <f t="shared" si="0"/>
        <v>20</v>
      </c>
      <c r="Y18" s="25">
        <f>[1]!ceil(((0.5+E18)*$V$7)/M18)</f>
        <v>15</v>
      </c>
    </row>
    <row r="19" spans="1:25" x14ac:dyDescent="0.25">
      <c r="A19" s="11" t="s">
        <v>39</v>
      </c>
      <c r="B19" s="11">
        <v>205</v>
      </c>
      <c r="C19" s="11" t="s">
        <v>147</v>
      </c>
      <c r="D19" s="17">
        <v>208</v>
      </c>
      <c r="E19" s="21">
        <v>4</v>
      </c>
      <c r="F19" s="12">
        <f t="shared" si="2"/>
        <v>5.1839999999999993</v>
      </c>
      <c r="G19" s="12">
        <v>0.1</v>
      </c>
      <c r="H19" s="11" t="s">
        <v>80</v>
      </c>
      <c r="I19" s="11">
        <f>[1]!ceil($V$6*Y19/X19)+1</f>
        <v>3</v>
      </c>
      <c r="J19" s="21">
        <v>5</v>
      </c>
      <c r="K19" s="21">
        <v>2</v>
      </c>
      <c r="L19" s="21">
        <v>30</v>
      </c>
      <c r="M19" s="12">
        <f t="shared" si="3"/>
        <v>8.584950000000001</v>
      </c>
      <c r="N19" s="25"/>
      <c r="O19" s="32" t="s">
        <v>185</v>
      </c>
      <c r="P19" s="21">
        <v>20</v>
      </c>
      <c r="X19" s="25">
        <f t="shared" si="0"/>
        <v>10</v>
      </c>
      <c r="Y19" s="25">
        <f>[1]!ceil(((0.5+E19)*$V$7)/M19)</f>
        <v>14</v>
      </c>
    </row>
    <row r="20" spans="1:25" x14ac:dyDescent="0.25">
      <c r="A20" s="11" t="s">
        <v>40</v>
      </c>
      <c r="B20" s="11">
        <v>206</v>
      </c>
      <c r="C20" s="11" t="s">
        <v>147</v>
      </c>
      <c r="D20" s="17" t="s">
        <v>41</v>
      </c>
      <c r="E20" s="21">
        <v>4</v>
      </c>
      <c r="F20" s="12">
        <f t="shared" si="2"/>
        <v>6.2207999999999988</v>
      </c>
      <c r="G20" s="12">
        <v>0.5</v>
      </c>
      <c r="H20" s="11" t="s">
        <v>80</v>
      </c>
      <c r="I20" s="11">
        <f>[1]!ceil($V$6*Y20/X20)+1</f>
        <v>2</v>
      </c>
      <c r="J20" s="21">
        <v>5</v>
      </c>
      <c r="K20" s="21">
        <v>1</v>
      </c>
      <c r="L20" s="21">
        <v>50</v>
      </c>
      <c r="M20" s="12">
        <f t="shared" si="3"/>
        <v>9.4434450000000023</v>
      </c>
      <c r="N20" s="25"/>
      <c r="O20" s="32" t="s">
        <v>185</v>
      </c>
      <c r="P20" s="21">
        <v>20</v>
      </c>
      <c r="X20" s="25">
        <f t="shared" si="0"/>
        <v>50</v>
      </c>
      <c r="Y20" s="25">
        <f>[1]!ceil(((0.5+E20)*$V$7)/M20)</f>
        <v>12</v>
      </c>
    </row>
    <row r="21" spans="1:25" x14ac:dyDescent="0.25">
      <c r="A21" s="11" t="s">
        <v>42</v>
      </c>
      <c r="B21" s="11">
        <v>207</v>
      </c>
      <c r="C21" s="11" t="s">
        <v>147</v>
      </c>
      <c r="D21" s="17" t="s">
        <v>43</v>
      </c>
      <c r="E21" s="21">
        <v>5</v>
      </c>
      <c r="F21" s="12">
        <f t="shared" si="2"/>
        <v>7.4649599999999978</v>
      </c>
      <c r="G21" s="12">
        <v>0.5</v>
      </c>
      <c r="H21" s="11" t="s">
        <v>80</v>
      </c>
      <c r="I21" s="11">
        <f>[1]!ceil($V$6*Y21/X21)+1</f>
        <v>2</v>
      </c>
      <c r="J21" s="21">
        <v>5</v>
      </c>
      <c r="K21" s="21">
        <v>1</v>
      </c>
      <c r="L21" s="21">
        <v>50</v>
      </c>
      <c r="M21" s="12">
        <f t="shared" si="3"/>
        <v>10.387789500000004</v>
      </c>
      <c r="N21" s="25"/>
      <c r="O21" s="32" t="s">
        <v>185</v>
      </c>
      <c r="P21" s="21">
        <v>20</v>
      </c>
      <c r="X21" s="25">
        <f t="shared" si="0"/>
        <v>50</v>
      </c>
      <c r="Y21" s="25">
        <f>[1]!ceil(((0.5+E21)*$V$7)/M21)</f>
        <v>14</v>
      </c>
    </row>
    <row r="22" spans="1:25" x14ac:dyDescent="0.25">
      <c r="A22" s="11" t="s">
        <v>44</v>
      </c>
      <c r="B22" s="11">
        <v>208</v>
      </c>
      <c r="C22" s="11" t="s">
        <v>147</v>
      </c>
      <c r="D22" s="17">
        <v>211</v>
      </c>
      <c r="E22" s="21">
        <v>5</v>
      </c>
      <c r="F22" s="12">
        <f t="shared" si="2"/>
        <v>8.957951999999997</v>
      </c>
      <c r="G22" s="12">
        <v>1</v>
      </c>
      <c r="H22" s="11" t="s">
        <v>80</v>
      </c>
      <c r="I22" s="11">
        <f>[1]!ceil($V$6*Y22/X22)+1</f>
        <v>2</v>
      </c>
      <c r="J22" s="21">
        <v>5</v>
      </c>
      <c r="K22" s="21">
        <v>1</v>
      </c>
      <c r="L22" s="21">
        <v>50</v>
      </c>
      <c r="M22" s="12">
        <f t="shared" si="3"/>
        <v>11.426568450000005</v>
      </c>
      <c r="N22" s="25"/>
      <c r="O22" s="32" t="s">
        <v>185</v>
      </c>
      <c r="P22" s="21">
        <v>20</v>
      </c>
      <c r="X22" s="25">
        <f t="shared" si="0"/>
        <v>100</v>
      </c>
      <c r="Y22" s="25">
        <f>[1]!ceil(((0.5+E22)*$V$7)/M22)</f>
        <v>13</v>
      </c>
    </row>
    <row r="23" spans="1:25" x14ac:dyDescent="0.25">
      <c r="A23" s="11" t="s">
        <v>45</v>
      </c>
      <c r="B23" s="11">
        <v>209</v>
      </c>
      <c r="C23" s="11" t="s">
        <v>147</v>
      </c>
      <c r="D23" s="17" t="s">
        <v>46</v>
      </c>
      <c r="E23" s="21">
        <v>5</v>
      </c>
      <c r="F23" s="12">
        <f t="shared" si="2"/>
        <v>10.749542399999996</v>
      </c>
      <c r="G23" s="12">
        <v>0.1</v>
      </c>
      <c r="H23" s="11" t="s">
        <v>80</v>
      </c>
      <c r="I23" s="11">
        <f>[1]!ceil($V$6*Y23/X23)+1</f>
        <v>3</v>
      </c>
      <c r="J23" s="21">
        <v>5</v>
      </c>
      <c r="K23" s="21">
        <v>1</v>
      </c>
      <c r="L23" s="21">
        <v>50</v>
      </c>
      <c r="M23" s="12">
        <f t="shared" si="3"/>
        <v>12.569225295000006</v>
      </c>
      <c r="N23" s="25"/>
      <c r="O23" s="32" t="s">
        <v>185</v>
      </c>
      <c r="P23" s="21">
        <v>20</v>
      </c>
      <c r="X23" s="25">
        <f t="shared" si="0"/>
        <v>10</v>
      </c>
      <c r="Y23" s="25">
        <f>[1]!ceil(((0.5+E23)*$V$7)/M23)</f>
        <v>11</v>
      </c>
    </row>
    <row r="24" spans="1:25" x14ac:dyDescent="0.25">
      <c r="A24" s="11" t="s">
        <v>47</v>
      </c>
      <c r="B24" s="11">
        <v>210</v>
      </c>
      <c r="C24" s="11" t="s">
        <v>147</v>
      </c>
      <c r="D24" s="17"/>
      <c r="E24" s="21">
        <v>6</v>
      </c>
      <c r="F24" s="12">
        <f t="shared" si="2"/>
        <v>12.899450879999995</v>
      </c>
      <c r="G24" s="12">
        <v>0.1</v>
      </c>
      <c r="H24" s="11" t="s">
        <v>79</v>
      </c>
      <c r="I24" s="11">
        <f>[1]!ceil($V$6*Y24/X24)+1</f>
        <v>3</v>
      </c>
      <c r="J24" s="21">
        <v>5</v>
      </c>
      <c r="K24" s="21">
        <v>5</v>
      </c>
      <c r="L24" s="21">
        <v>50</v>
      </c>
      <c r="M24" s="12">
        <f t="shared" si="3"/>
        <v>13.826147824500008</v>
      </c>
      <c r="N24" s="25"/>
      <c r="O24" s="32" t="s">
        <v>185</v>
      </c>
      <c r="P24" s="21">
        <v>30</v>
      </c>
      <c r="X24" s="25">
        <f t="shared" si="0"/>
        <v>10</v>
      </c>
      <c r="Y24" s="25">
        <f>[1]!ceil(((0.5+E24)*$V$7)/M24)</f>
        <v>12</v>
      </c>
    </row>
    <row r="25" spans="1:25" x14ac:dyDescent="0.25">
      <c r="A25" s="11" t="s">
        <v>48</v>
      </c>
      <c r="B25" s="11">
        <v>211</v>
      </c>
      <c r="C25" s="11" t="s">
        <v>147</v>
      </c>
      <c r="D25" s="17"/>
      <c r="E25" s="21">
        <v>6</v>
      </c>
      <c r="F25" s="12">
        <f t="shared" si="2"/>
        <v>15.479341055999992</v>
      </c>
      <c r="G25" s="12">
        <v>0.4</v>
      </c>
      <c r="H25" s="11" t="s">
        <v>79</v>
      </c>
      <c r="I25" s="11">
        <f>[1]!ceil($V$6*Y25/X25)+1</f>
        <v>2</v>
      </c>
      <c r="J25" s="21">
        <v>5</v>
      </c>
      <c r="K25" s="21">
        <v>5</v>
      </c>
      <c r="L25" s="21">
        <v>100</v>
      </c>
      <c r="M25" s="12">
        <f t="shared" si="3"/>
        <v>15.20876260695001</v>
      </c>
      <c r="N25" s="25"/>
      <c r="O25" s="32" t="s">
        <v>185</v>
      </c>
      <c r="P25" s="21">
        <v>30</v>
      </c>
      <c r="X25" s="25">
        <f t="shared" si="0"/>
        <v>40</v>
      </c>
      <c r="Y25" s="25">
        <f>[1]!ceil(((0.5+E25)*$V$7)/M25)</f>
        <v>11</v>
      </c>
    </row>
    <row r="26" spans="1:25" x14ac:dyDescent="0.25">
      <c r="A26" s="11" t="s">
        <v>49</v>
      </c>
      <c r="B26" s="11">
        <v>212</v>
      </c>
      <c r="C26" s="11" t="s">
        <v>147</v>
      </c>
      <c r="D26" s="17"/>
      <c r="E26" s="21">
        <v>6</v>
      </c>
      <c r="F26" s="12">
        <f t="shared" si="2"/>
        <v>18.575209267199991</v>
      </c>
      <c r="G26" s="12">
        <v>0.4</v>
      </c>
      <c r="H26" s="11" t="s">
        <v>79</v>
      </c>
      <c r="I26" s="11">
        <f>[1]!ceil($V$6*Y26/X26)+1</f>
        <v>2</v>
      </c>
      <c r="J26" s="21">
        <v>5</v>
      </c>
      <c r="K26" s="21">
        <v>5</v>
      </c>
      <c r="L26" s="21">
        <v>100</v>
      </c>
      <c r="M26" s="12">
        <f t="shared" si="3"/>
        <v>16.729638867645011</v>
      </c>
      <c r="N26" s="25"/>
      <c r="O26" s="32" t="s">
        <v>185</v>
      </c>
      <c r="P26" s="21">
        <v>30</v>
      </c>
      <c r="X26" s="25">
        <f t="shared" si="0"/>
        <v>40</v>
      </c>
      <c r="Y26" s="25">
        <f>[1]!ceil(((0.5+E26)*$V$7)/M26)</f>
        <v>10</v>
      </c>
    </row>
    <row r="27" spans="1:25" x14ac:dyDescent="0.25">
      <c r="A27" s="13" t="s">
        <v>143</v>
      </c>
      <c r="B27" s="13">
        <v>301</v>
      </c>
      <c r="C27" s="13" t="s">
        <v>148</v>
      </c>
      <c r="D27" s="18" t="s">
        <v>180</v>
      </c>
      <c r="E27" s="22">
        <v>2</v>
      </c>
      <c r="F27" s="14">
        <v>4</v>
      </c>
      <c r="G27" s="14">
        <v>0.1</v>
      </c>
      <c r="H27" s="13" t="s">
        <v>79</v>
      </c>
      <c r="I27" s="13">
        <f>[1]!ceil($V$6*Y27/X27)+1</f>
        <v>4</v>
      </c>
      <c r="J27" s="22">
        <v>3</v>
      </c>
      <c r="K27" s="22">
        <v>3</v>
      </c>
      <c r="L27" s="22">
        <v>5</v>
      </c>
      <c r="M27" s="14">
        <v>3</v>
      </c>
      <c r="N27" s="26">
        <v>8</v>
      </c>
      <c r="O27" s="33" t="s">
        <v>185</v>
      </c>
      <c r="P27" s="22">
        <v>40</v>
      </c>
      <c r="X27" s="25">
        <f t="shared" si="0"/>
        <v>10</v>
      </c>
      <c r="Y27" s="25">
        <f>[1]!ceil(((0.5+E27)*$V$7)/M27)</f>
        <v>21</v>
      </c>
    </row>
    <row r="28" spans="1:25" x14ac:dyDescent="0.25">
      <c r="A28" s="13" t="s">
        <v>144</v>
      </c>
      <c r="B28" s="13">
        <v>302</v>
      </c>
      <c r="C28" s="13" t="s">
        <v>177</v>
      </c>
      <c r="D28" s="18"/>
      <c r="E28" s="22">
        <v>4</v>
      </c>
      <c r="F28" s="14">
        <v>5</v>
      </c>
      <c r="G28" s="14">
        <v>0.8</v>
      </c>
      <c r="H28" s="13" t="s">
        <v>178</v>
      </c>
      <c r="I28" s="13">
        <v>3</v>
      </c>
      <c r="J28" s="22">
        <v>18</v>
      </c>
      <c r="K28" s="22">
        <f>J28/3.82</f>
        <v>4.7120418848167542</v>
      </c>
      <c r="L28" s="22">
        <v>30</v>
      </c>
      <c r="M28" s="14">
        <v>2</v>
      </c>
      <c r="N28" s="26"/>
      <c r="O28" s="33" t="s">
        <v>186</v>
      </c>
      <c r="P28" s="22">
        <v>40</v>
      </c>
      <c r="X28" s="26">
        <f t="shared" si="0"/>
        <v>80</v>
      </c>
      <c r="Y28" s="26">
        <f>[1]!ceil(((0.5+E28)*$V$7)/M28)</f>
        <v>57</v>
      </c>
    </row>
    <row r="29" spans="1:25" x14ac:dyDescent="0.25">
      <c r="A29" s="13" t="s">
        <v>145</v>
      </c>
      <c r="B29" s="13">
        <v>303</v>
      </c>
      <c r="C29" s="13" t="s">
        <v>146</v>
      </c>
      <c r="D29" s="18"/>
      <c r="E29" s="22">
        <v>1</v>
      </c>
      <c r="F29" s="14"/>
      <c r="G29" s="14">
        <v>0.5</v>
      </c>
      <c r="H29" s="13" t="s">
        <v>181</v>
      </c>
      <c r="I29" s="13">
        <v>1</v>
      </c>
      <c r="J29" s="22">
        <v>25</v>
      </c>
      <c r="K29" s="22">
        <v>25</v>
      </c>
      <c r="L29" s="22">
        <v>0</v>
      </c>
      <c r="M29" s="14">
        <v>0</v>
      </c>
      <c r="N29" s="26"/>
      <c r="O29" s="33" t="s">
        <v>188</v>
      </c>
      <c r="P29" s="22">
        <v>40</v>
      </c>
      <c r="X29" s="26">
        <f t="shared" si="0"/>
        <v>50</v>
      </c>
      <c r="Y29" s="26" t="e">
        <f>[1]!ceil(((0.5+E29)*$V$7)/M29)</f>
        <v>#DIV/0!</v>
      </c>
    </row>
    <row r="30" spans="1:25" x14ac:dyDescent="0.25">
      <c r="X30" s="26"/>
      <c r="Y30" s="26"/>
    </row>
    <row r="31" spans="1:25" x14ac:dyDescent="0.25">
      <c r="A31" s="2" t="s">
        <v>152</v>
      </c>
      <c r="B31" s="2" t="s">
        <v>153</v>
      </c>
      <c r="C31" s="2" t="s">
        <v>152</v>
      </c>
      <c r="D31" s="2" t="s">
        <v>152</v>
      </c>
      <c r="E31" s="2" t="s">
        <v>154</v>
      </c>
      <c r="F31" s="2" t="s">
        <v>154</v>
      </c>
      <c r="G31" s="2" t="s">
        <v>154</v>
      </c>
      <c r="H31" s="2" t="s">
        <v>152</v>
      </c>
      <c r="I31" s="2" t="s">
        <v>153</v>
      </c>
      <c r="J31" s="2" t="s">
        <v>154</v>
      </c>
      <c r="K31" s="2" t="s">
        <v>154</v>
      </c>
      <c r="L31" s="2" t="s">
        <v>154</v>
      </c>
      <c r="M31" s="2" t="s">
        <v>154</v>
      </c>
      <c r="N31" s="2" t="s">
        <v>153</v>
      </c>
      <c r="O31" s="2" t="s">
        <v>152</v>
      </c>
      <c r="P31" s="2" t="s">
        <v>154</v>
      </c>
    </row>
    <row r="34" spans="10:11" x14ac:dyDescent="0.25">
      <c r="K34">
        <f>256/67</f>
        <v>3.8208955223880596</v>
      </c>
    </row>
    <row r="35" spans="10:11" x14ac:dyDescent="0.25">
      <c r="J35" s="3"/>
    </row>
    <row r="36" spans="10:11" x14ac:dyDescent="0.25">
      <c r="J36" s="3"/>
    </row>
    <row r="37" spans="10:11" x14ac:dyDescent="0.25">
      <c r="J37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Towers">
                <anchor moveWithCells="1" sizeWithCells="1">
                  <from>
                    <xdr:col>17</xdr:col>
                    <xdr:colOff>57150</xdr:colOff>
                    <xdr:row>3</xdr:row>
                    <xdr:rowOff>38100</xdr:rowOff>
                  </from>
                  <to>
                    <xdr:col>18</xdr:col>
                    <xdr:colOff>476250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EDA4-5A76-4874-864F-ED80563116C5}">
  <sheetPr codeName="Sheet2"/>
  <dimension ref="A1:Q6"/>
  <sheetViews>
    <sheetView zoomScale="130" zoomScaleNormal="130" workbookViewId="0">
      <selection activeCell="D15" sqref="D15"/>
    </sheetView>
  </sheetViews>
  <sheetFormatPr defaultRowHeight="15" x14ac:dyDescent="0.25"/>
  <cols>
    <col min="1" max="1" width="12.85546875" bestFit="1" customWidth="1"/>
    <col min="7" max="7" width="10.85546875" bestFit="1" customWidth="1"/>
    <col min="8" max="8" width="11.140625" bestFit="1" customWidth="1"/>
    <col min="16" max="16" width="10.28515625" bestFit="1" customWidth="1"/>
  </cols>
  <sheetData>
    <row r="1" spans="1:17" x14ac:dyDescent="0.25">
      <c r="A1" t="s">
        <v>0</v>
      </c>
      <c r="B1" t="s">
        <v>1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</row>
    <row r="2" spans="1:17" x14ac:dyDescent="0.25">
      <c r="A2" t="s">
        <v>59</v>
      </c>
      <c r="B2">
        <v>1</v>
      </c>
      <c r="C2">
        <f>25*Q3</f>
        <v>25</v>
      </c>
      <c r="D2">
        <v>1</v>
      </c>
      <c r="E2">
        <v>1</v>
      </c>
      <c r="F2">
        <v>1</v>
      </c>
      <c r="G2">
        <f>0.8*Q2</f>
        <v>0.8</v>
      </c>
      <c r="H2">
        <f>G2</f>
        <v>0.8</v>
      </c>
      <c r="I2">
        <v>10</v>
      </c>
      <c r="J2">
        <v>-1</v>
      </c>
      <c r="K2">
        <v>10</v>
      </c>
      <c r="P2" t="s">
        <v>107</v>
      </c>
      <c r="Q2">
        <v>1</v>
      </c>
    </row>
    <row r="3" spans="1:17" x14ac:dyDescent="0.25">
      <c r="A3" t="s">
        <v>60</v>
      </c>
      <c r="B3">
        <v>2</v>
      </c>
      <c r="C3">
        <f>40*Q3</f>
        <v>40</v>
      </c>
      <c r="D3">
        <v>1</v>
      </c>
      <c r="E3">
        <v>1</v>
      </c>
      <c r="F3">
        <v>1</v>
      </c>
      <c r="G3">
        <f>1.1*Q2</f>
        <v>1.1000000000000001</v>
      </c>
      <c r="H3">
        <f t="shared" ref="H3:H6" si="0">G3</f>
        <v>1.1000000000000001</v>
      </c>
      <c r="I3">
        <v>10</v>
      </c>
      <c r="J3">
        <v>-1</v>
      </c>
      <c r="K3">
        <v>15</v>
      </c>
      <c r="P3" t="s">
        <v>141</v>
      </c>
      <c r="Q3">
        <v>1</v>
      </c>
    </row>
    <row r="4" spans="1:17" x14ac:dyDescent="0.25">
      <c r="A4" t="s">
        <v>61</v>
      </c>
      <c r="B4">
        <v>3</v>
      </c>
      <c r="C4">
        <f>60*Q3</f>
        <v>60</v>
      </c>
      <c r="D4">
        <v>1</v>
      </c>
      <c r="E4">
        <v>1</v>
      </c>
      <c r="F4">
        <v>1</v>
      </c>
      <c r="G4">
        <f>0.75*Q2</f>
        <v>0.75</v>
      </c>
      <c r="H4">
        <f t="shared" si="0"/>
        <v>0.75</v>
      </c>
      <c r="I4">
        <v>10</v>
      </c>
      <c r="J4">
        <v>-1</v>
      </c>
      <c r="K4">
        <v>20</v>
      </c>
      <c r="M4" s="1" t="s">
        <v>70</v>
      </c>
      <c r="N4" s="1" t="s">
        <v>71</v>
      </c>
    </row>
    <row r="5" spans="1:17" x14ac:dyDescent="0.25">
      <c r="A5" t="s">
        <v>62</v>
      </c>
      <c r="B5">
        <v>4</v>
      </c>
      <c r="C5">
        <f>80*Q3</f>
        <v>80</v>
      </c>
      <c r="D5">
        <v>1</v>
      </c>
      <c r="E5">
        <v>1</v>
      </c>
      <c r="F5">
        <v>1</v>
      </c>
      <c r="G5">
        <f>1.3*Q2</f>
        <v>1.3</v>
      </c>
      <c r="H5">
        <f t="shared" si="0"/>
        <v>1.3</v>
      </c>
      <c r="I5">
        <v>10</v>
      </c>
      <c r="J5">
        <v>-1</v>
      </c>
      <c r="K5">
        <v>25</v>
      </c>
    </row>
    <row r="6" spans="1:17" x14ac:dyDescent="0.25">
      <c r="A6" t="s">
        <v>63</v>
      </c>
      <c r="B6">
        <v>5</v>
      </c>
      <c r="C6">
        <f>100*Q3</f>
        <v>100</v>
      </c>
      <c r="D6">
        <v>1</v>
      </c>
      <c r="E6">
        <v>1</v>
      </c>
      <c r="F6">
        <v>1</v>
      </c>
      <c r="G6">
        <f>1.3*Q2</f>
        <v>1.3</v>
      </c>
      <c r="H6">
        <f t="shared" si="0"/>
        <v>1.3</v>
      </c>
      <c r="I6">
        <v>10</v>
      </c>
      <c r="J6">
        <v>-1</v>
      </c>
      <c r="K6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Mobs">
                <anchor moveWithCells="1" sizeWithCells="1">
                  <from>
                    <xdr:col>12</xdr:col>
                    <xdr:colOff>28575</xdr:colOff>
                    <xdr:row>4</xdr:row>
                    <xdr:rowOff>66675</xdr:rowOff>
                  </from>
                  <to>
                    <xdr:col>13</xdr:col>
                    <xdr:colOff>447675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4771-8D63-4C20-A62A-9A9EA08C0C68}">
  <sheetPr codeName="Sheet3"/>
  <dimension ref="A1:AA25"/>
  <sheetViews>
    <sheetView zoomScaleNormal="100" workbookViewId="0">
      <selection activeCell="B28" sqref="B28"/>
    </sheetView>
  </sheetViews>
  <sheetFormatPr defaultRowHeight="15" x14ac:dyDescent="0.25"/>
  <cols>
    <col min="1" max="3" width="11" customWidth="1"/>
    <col min="4" max="4" width="12.7109375" bestFit="1" customWidth="1"/>
    <col min="5" max="5" width="14.7109375" customWidth="1"/>
    <col min="6" max="6" width="13.140625" bestFit="1" customWidth="1"/>
    <col min="7" max="8" width="5.140625" style="1" customWidth="1"/>
    <col min="9" max="9" width="5.140625" style="4" customWidth="1"/>
    <col min="10" max="10" width="5.140625" style="1" customWidth="1"/>
    <col min="11" max="11" width="5.140625" style="4" customWidth="1"/>
    <col min="12" max="12" width="5.140625" customWidth="1"/>
    <col min="13" max="13" width="5.140625" style="4" customWidth="1"/>
    <col min="14" max="14" width="5.140625" customWidth="1"/>
    <col min="15" max="15" width="5.140625" style="4" customWidth="1"/>
    <col min="16" max="16" width="5.140625" customWidth="1"/>
    <col min="17" max="17" width="5.140625" style="4" customWidth="1"/>
    <col min="21" max="21" width="15.85546875" bestFit="1" customWidth="1"/>
    <col min="26" max="26" width="15.140625" bestFit="1" customWidth="1"/>
  </cols>
  <sheetData>
    <row r="1" spans="1:27" x14ac:dyDescent="0.25">
      <c r="A1" t="s">
        <v>160</v>
      </c>
      <c r="B1" t="s">
        <v>161</v>
      </c>
      <c r="C1" t="s">
        <v>162</v>
      </c>
      <c r="D1" t="s">
        <v>163</v>
      </c>
      <c r="E1" t="s">
        <v>164</v>
      </c>
      <c r="F1" t="s">
        <v>165</v>
      </c>
      <c r="G1" s="1" t="s">
        <v>166</v>
      </c>
      <c r="H1" s="1" t="s">
        <v>167</v>
      </c>
      <c r="I1" s="4" t="s">
        <v>168</v>
      </c>
      <c r="J1" s="1" t="s">
        <v>169</v>
      </c>
      <c r="K1" s="4" t="s">
        <v>170</v>
      </c>
      <c r="L1" t="s">
        <v>171</v>
      </c>
      <c r="M1" s="4" t="s">
        <v>172</v>
      </c>
      <c r="N1" t="s">
        <v>173</v>
      </c>
      <c r="O1" s="4" t="s">
        <v>174</v>
      </c>
      <c r="P1" t="s">
        <v>175</v>
      </c>
      <c r="Q1" s="4" t="s">
        <v>176</v>
      </c>
    </row>
    <row r="2" spans="1:27" x14ac:dyDescent="0.25">
      <c r="A2" t="s">
        <v>0</v>
      </c>
      <c r="B2" t="s">
        <v>1</v>
      </c>
      <c r="C2" t="s">
        <v>64</v>
      </c>
      <c r="D2" t="s">
        <v>65</v>
      </c>
      <c r="E2" t="s">
        <v>76</v>
      </c>
      <c r="F2" t="s">
        <v>77</v>
      </c>
      <c r="U2" t="s">
        <v>106</v>
      </c>
      <c r="V2">
        <v>0.5</v>
      </c>
    </row>
    <row r="3" spans="1:27" x14ac:dyDescent="0.25">
      <c r="A3" t="s">
        <v>66</v>
      </c>
      <c r="B3">
        <v>1</v>
      </c>
      <c r="C3">
        <v>8</v>
      </c>
      <c r="D3" s="3">
        <f>1*V2</f>
        <v>0.5</v>
      </c>
      <c r="E3" s="2" t="str">
        <f>_xlfn.TEXTJOIN(",",TRUE,H3,J3,L3,N3,P3)</f>
        <v>1</v>
      </c>
      <c r="F3" s="2" t="str">
        <f>_xlfn.TEXTJOIN(",",TRUE,I3,K3,M3,O3,Q3)</f>
        <v>3</v>
      </c>
      <c r="H3" s="1">
        <v>1</v>
      </c>
      <c r="I3" s="4">
        <v>3</v>
      </c>
      <c r="L3" s="1"/>
      <c r="N3" s="1"/>
      <c r="P3" s="1"/>
    </row>
    <row r="4" spans="1:27" x14ac:dyDescent="0.25">
      <c r="A4" t="s">
        <v>67</v>
      </c>
      <c r="B4">
        <v>2</v>
      </c>
      <c r="C4">
        <v>9</v>
      </c>
      <c r="D4" s="3">
        <f>0.95*D3</f>
        <v>0.47499999999999998</v>
      </c>
      <c r="E4" s="2" t="str">
        <f t="shared" ref="E4:E25" si="0">_xlfn.TEXTJOIN(",",TRUE,H4,J4,L4,N4,P4)</f>
        <v>1</v>
      </c>
      <c r="F4" s="2" t="str">
        <f t="shared" ref="F4:F25" si="1">_xlfn.TEXTJOIN(",",TRUE,I4,K4,M4,O4,Q4)</f>
        <v>5</v>
      </c>
      <c r="H4" s="1">
        <v>1</v>
      </c>
      <c r="I4" s="4">
        <v>5</v>
      </c>
      <c r="L4" s="1"/>
      <c r="N4" s="1"/>
      <c r="P4" s="1"/>
      <c r="R4" s="1" t="s">
        <v>70</v>
      </c>
      <c r="S4" s="1" t="s">
        <v>105</v>
      </c>
    </row>
    <row r="5" spans="1:27" x14ac:dyDescent="0.25">
      <c r="A5" t="s">
        <v>68</v>
      </c>
      <c r="B5">
        <v>3</v>
      </c>
      <c r="C5">
        <v>10</v>
      </c>
      <c r="D5" s="3">
        <f t="shared" ref="D5:D25" si="2">0.95*D4</f>
        <v>0.45124999999999998</v>
      </c>
      <c r="E5" s="2" t="str">
        <f t="shared" si="0"/>
        <v>1,2</v>
      </c>
      <c r="F5" s="2" t="str">
        <f t="shared" si="1"/>
        <v>5,1</v>
      </c>
      <c r="H5" s="1">
        <v>1</v>
      </c>
      <c r="I5" s="4">
        <v>5</v>
      </c>
      <c r="J5" s="1">
        <v>2</v>
      </c>
      <c r="K5" s="4">
        <v>1</v>
      </c>
      <c r="L5" s="1"/>
      <c r="N5" s="1"/>
      <c r="P5" s="1"/>
    </row>
    <row r="6" spans="1:27" x14ac:dyDescent="0.25">
      <c r="A6" t="s">
        <v>69</v>
      </c>
      <c r="B6">
        <v>4</v>
      </c>
      <c r="C6">
        <v>12</v>
      </c>
      <c r="D6" s="3">
        <f t="shared" si="2"/>
        <v>0.42868749999999994</v>
      </c>
      <c r="E6" s="2" t="str">
        <f t="shared" si="0"/>
        <v>1,2</v>
      </c>
      <c r="F6" s="2" t="str">
        <f t="shared" si="1"/>
        <v>6,2</v>
      </c>
      <c r="H6" s="1">
        <v>1</v>
      </c>
      <c r="I6" s="4">
        <v>6</v>
      </c>
      <c r="J6" s="1">
        <v>2</v>
      </c>
      <c r="K6" s="4">
        <v>2</v>
      </c>
      <c r="L6" s="1"/>
      <c r="N6" s="1"/>
      <c r="P6" s="1"/>
    </row>
    <row r="7" spans="1:27" x14ac:dyDescent="0.25">
      <c r="A7" t="s">
        <v>72</v>
      </c>
      <c r="B7">
        <v>5</v>
      </c>
      <c r="C7">
        <v>12</v>
      </c>
      <c r="D7" s="3">
        <f t="shared" si="2"/>
        <v>0.40725312499999994</v>
      </c>
      <c r="E7" s="2" t="str">
        <f t="shared" si="0"/>
        <v>1,2</v>
      </c>
      <c r="F7" s="2" t="str">
        <f t="shared" si="1"/>
        <v>3,3</v>
      </c>
      <c r="H7" s="1">
        <v>1</v>
      </c>
      <c r="I7" s="4">
        <v>3</v>
      </c>
      <c r="J7" s="1">
        <v>2</v>
      </c>
      <c r="K7" s="4">
        <v>3</v>
      </c>
      <c r="L7" s="1"/>
      <c r="N7" s="1"/>
      <c r="P7" s="1"/>
    </row>
    <row r="8" spans="1:27" x14ac:dyDescent="0.25">
      <c r="A8" t="s">
        <v>73</v>
      </c>
      <c r="B8">
        <v>6</v>
      </c>
      <c r="C8">
        <v>12</v>
      </c>
      <c r="D8" s="3">
        <f t="shared" si="2"/>
        <v>0.38689046874999994</v>
      </c>
      <c r="E8" s="2" t="str">
        <f>_xlfn.TEXTJOIN(",",TRUE,H8,J8,L8,N8,P8)</f>
        <v>2,3</v>
      </c>
      <c r="F8" s="2" t="str">
        <f>_xlfn.TEXTJOIN(",",TRUE,I8,K8,M8,O8,Q8)</f>
        <v>4,2</v>
      </c>
      <c r="J8" s="1">
        <v>2</v>
      </c>
      <c r="K8" s="4">
        <v>4</v>
      </c>
      <c r="L8" s="1">
        <v>3</v>
      </c>
      <c r="M8" s="4">
        <v>2</v>
      </c>
      <c r="N8" s="1"/>
      <c r="P8" s="1"/>
    </row>
    <row r="9" spans="1:27" x14ac:dyDescent="0.25">
      <c r="A9" t="s">
        <v>74</v>
      </c>
      <c r="B9">
        <v>7</v>
      </c>
      <c r="C9">
        <v>12</v>
      </c>
      <c r="D9" s="3">
        <f t="shared" si="2"/>
        <v>0.3675459453124999</v>
      </c>
      <c r="E9" s="2" t="str">
        <f t="shared" si="0"/>
        <v>2</v>
      </c>
      <c r="F9" s="2" t="str">
        <f t="shared" si="1"/>
        <v>8</v>
      </c>
      <c r="G9"/>
      <c r="J9" s="1">
        <v>2</v>
      </c>
      <c r="K9" s="4">
        <v>8</v>
      </c>
      <c r="L9" s="1"/>
      <c r="N9" s="1"/>
      <c r="P9" s="1"/>
    </row>
    <row r="10" spans="1:27" x14ac:dyDescent="0.25">
      <c r="A10" t="s">
        <v>75</v>
      </c>
      <c r="B10">
        <v>8</v>
      </c>
      <c r="C10">
        <v>12</v>
      </c>
      <c r="D10" s="3">
        <f t="shared" si="2"/>
        <v>0.34916864804687486</v>
      </c>
      <c r="E10" s="2" t="str">
        <f t="shared" si="0"/>
        <v>1,2</v>
      </c>
      <c r="F10" s="2" t="str">
        <f t="shared" si="1"/>
        <v>12,1</v>
      </c>
      <c r="H10" s="1">
        <v>1</v>
      </c>
      <c r="I10" s="4">
        <v>12</v>
      </c>
      <c r="J10" s="1">
        <v>2</v>
      </c>
      <c r="K10" s="4">
        <v>1</v>
      </c>
      <c r="L10" s="1"/>
      <c r="N10" s="1"/>
      <c r="P10" s="1"/>
      <c r="U10" s="2"/>
    </row>
    <row r="11" spans="1:27" x14ac:dyDescent="0.25">
      <c r="A11" t="s">
        <v>90</v>
      </c>
      <c r="B11">
        <v>9</v>
      </c>
      <c r="C11">
        <v>12</v>
      </c>
      <c r="D11" s="3">
        <f t="shared" si="2"/>
        <v>0.33171021564453113</v>
      </c>
      <c r="E11" s="2" t="str">
        <f t="shared" si="0"/>
        <v>1</v>
      </c>
      <c r="F11" s="2" t="str">
        <f t="shared" si="1"/>
        <v>15</v>
      </c>
      <c r="H11" s="1">
        <v>1</v>
      </c>
      <c r="I11" s="4">
        <v>15</v>
      </c>
      <c r="L11" s="1"/>
      <c r="N11" s="1"/>
      <c r="P11" s="1"/>
      <c r="U11" s="2"/>
    </row>
    <row r="12" spans="1:27" x14ac:dyDescent="0.25">
      <c r="A12" t="s">
        <v>91</v>
      </c>
      <c r="B12">
        <v>10</v>
      </c>
      <c r="C12">
        <v>12</v>
      </c>
      <c r="D12" s="3">
        <f t="shared" si="2"/>
        <v>0.31512470486230454</v>
      </c>
      <c r="E12" s="2" t="str">
        <f t="shared" si="0"/>
        <v>2,3</v>
      </c>
      <c r="F12" s="2" t="str">
        <f t="shared" si="1"/>
        <v>8,2</v>
      </c>
      <c r="J12" s="1">
        <v>2</v>
      </c>
      <c r="K12" s="4">
        <v>8</v>
      </c>
      <c r="L12" s="1">
        <v>3</v>
      </c>
      <c r="M12" s="4">
        <v>2</v>
      </c>
      <c r="N12" s="1"/>
      <c r="P12" s="1"/>
      <c r="U12" s="2"/>
    </row>
    <row r="13" spans="1:27" x14ac:dyDescent="0.25">
      <c r="A13" t="s">
        <v>92</v>
      </c>
      <c r="B13">
        <v>11</v>
      </c>
      <c r="C13">
        <v>12</v>
      </c>
      <c r="D13" s="3">
        <f t="shared" si="2"/>
        <v>0.29936846961918928</v>
      </c>
      <c r="E13" s="2" t="str">
        <f t="shared" si="0"/>
        <v>1,2,3</v>
      </c>
      <c r="F13" s="2" t="str">
        <f t="shared" si="1"/>
        <v>10,4,3</v>
      </c>
      <c r="H13" s="1">
        <v>1</v>
      </c>
      <c r="I13" s="4">
        <v>10</v>
      </c>
      <c r="J13" s="1">
        <v>2</v>
      </c>
      <c r="K13" s="4">
        <v>4</v>
      </c>
      <c r="L13" s="1">
        <v>3</v>
      </c>
      <c r="M13" s="4">
        <v>3</v>
      </c>
      <c r="N13" s="1"/>
      <c r="P13" s="1"/>
      <c r="U13" s="2"/>
    </row>
    <row r="14" spans="1:27" x14ac:dyDescent="0.25">
      <c r="A14" t="s">
        <v>93</v>
      </c>
      <c r="B14">
        <v>12</v>
      </c>
      <c r="C14">
        <v>12</v>
      </c>
      <c r="D14" s="3">
        <f t="shared" si="2"/>
        <v>0.28440004613822978</v>
      </c>
      <c r="E14" s="2" t="str">
        <f t="shared" si="0"/>
        <v>2,3</v>
      </c>
      <c r="F14" s="2" t="str">
        <f t="shared" si="1"/>
        <v>10,2</v>
      </c>
      <c r="J14" s="1">
        <v>2</v>
      </c>
      <c r="K14" s="4">
        <v>10</v>
      </c>
      <c r="L14" s="1">
        <v>3</v>
      </c>
      <c r="M14" s="4">
        <v>2</v>
      </c>
      <c r="N14" s="1"/>
      <c r="P14" s="1"/>
      <c r="U14" s="2"/>
    </row>
    <row r="15" spans="1:27" x14ac:dyDescent="0.25">
      <c r="A15" t="s">
        <v>94</v>
      </c>
      <c r="B15">
        <v>13</v>
      </c>
      <c r="C15">
        <v>12</v>
      </c>
      <c r="D15" s="3">
        <f t="shared" si="2"/>
        <v>0.27018004383131827</v>
      </c>
      <c r="E15" s="2" t="str">
        <f t="shared" si="0"/>
        <v>2</v>
      </c>
      <c r="F15" s="2" t="str">
        <f t="shared" si="1"/>
        <v>15</v>
      </c>
      <c r="J15" s="1">
        <v>2</v>
      </c>
      <c r="K15" s="4">
        <v>15</v>
      </c>
      <c r="L15" s="1"/>
      <c r="N15" s="1"/>
      <c r="P15" s="1"/>
      <c r="U15" s="2"/>
      <c r="Z15" s="6"/>
      <c r="AA15" s="5"/>
    </row>
    <row r="16" spans="1:27" x14ac:dyDescent="0.25">
      <c r="A16" t="s">
        <v>95</v>
      </c>
      <c r="B16">
        <v>14</v>
      </c>
      <c r="C16">
        <v>12</v>
      </c>
      <c r="D16" s="3">
        <f t="shared" si="2"/>
        <v>0.25667104163975235</v>
      </c>
      <c r="E16" s="2" t="str">
        <f t="shared" si="0"/>
        <v>1,2,3</v>
      </c>
      <c r="F16" s="2" t="str">
        <f t="shared" si="1"/>
        <v>5,10,5</v>
      </c>
      <c r="H16" s="1">
        <v>1</v>
      </c>
      <c r="I16" s="4">
        <v>5</v>
      </c>
      <c r="J16" s="1">
        <v>2</v>
      </c>
      <c r="K16" s="4">
        <v>10</v>
      </c>
      <c r="L16" s="1">
        <v>3</v>
      </c>
      <c r="M16" s="4">
        <v>5</v>
      </c>
      <c r="N16" s="1"/>
      <c r="P16" s="1"/>
      <c r="U16" s="2"/>
      <c r="Z16" s="6"/>
    </row>
    <row r="17" spans="1:21" x14ac:dyDescent="0.25">
      <c r="A17" t="s">
        <v>96</v>
      </c>
      <c r="B17">
        <v>15</v>
      </c>
      <c r="C17">
        <v>12</v>
      </c>
      <c r="D17" s="3">
        <f t="shared" si="2"/>
        <v>0.24383748955776471</v>
      </c>
      <c r="E17" s="2" t="str">
        <f t="shared" si="0"/>
        <v>1,2,3,4</v>
      </c>
      <c r="F17" s="2" t="str">
        <f t="shared" si="1"/>
        <v>3,4,6,2</v>
      </c>
      <c r="H17" s="1">
        <v>1</v>
      </c>
      <c r="I17" s="4">
        <v>3</v>
      </c>
      <c r="J17" s="1">
        <v>2</v>
      </c>
      <c r="K17" s="4">
        <v>4</v>
      </c>
      <c r="L17" s="1">
        <v>3</v>
      </c>
      <c r="M17" s="4">
        <v>6</v>
      </c>
      <c r="N17" s="1">
        <v>4</v>
      </c>
      <c r="O17" s="4">
        <v>2</v>
      </c>
      <c r="P17" s="1"/>
      <c r="U17" s="2"/>
    </row>
    <row r="18" spans="1:21" x14ac:dyDescent="0.25">
      <c r="A18" t="s">
        <v>97</v>
      </c>
      <c r="B18">
        <v>16</v>
      </c>
      <c r="C18">
        <v>12</v>
      </c>
      <c r="D18" s="3">
        <f t="shared" si="2"/>
        <v>0.23164561507987647</v>
      </c>
      <c r="E18" s="2" t="str">
        <f t="shared" si="0"/>
        <v>3</v>
      </c>
      <c r="F18" s="2" t="str">
        <f t="shared" si="1"/>
        <v>8</v>
      </c>
      <c r="L18" s="1">
        <v>3</v>
      </c>
      <c r="M18" s="4">
        <v>8</v>
      </c>
      <c r="N18" s="1"/>
      <c r="P18" s="1"/>
      <c r="U18" s="2"/>
    </row>
    <row r="19" spans="1:21" x14ac:dyDescent="0.25">
      <c r="A19" t="s">
        <v>98</v>
      </c>
      <c r="B19">
        <v>17</v>
      </c>
      <c r="C19">
        <v>12</v>
      </c>
      <c r="D19" s="3">
        <f t="shared" si="2"/>
        <v>0.22006333432588263</v>
      </c>
      <c r="E19" s="2" t="str">
        <f t="shared" si="0"/>
        <v>3</v>
      </c>
      <c r="F19" s="2" t="str">
        <f t="shared" si="1"/>
        <v>10</v>
      </c>
      <c r="L19" s="1">
        <v>3</v>
      </c>
      <c r="M19" s="4">
        <v>10</v>
      </c>
      <c r="N19" s="1"/>
      <c r="P19" s="1"/>
      <c r="U19" s="2"/>
    </row>
    <row r="20" spans="1:21" x14ac:dyDescent="0.25">
      <c r="A20" t="s">
        <v>99</v>
      </c>
      <c r="B20">
        <v>18</v>
      </c>
      <c r="C20">
        <v>12</v>
      </c>
      <c r="D20" s="3">
        <f t="shared" si="2"/>
        <v>0.20906016760958848</v>
      </c>
      <c r="E20" s="2" t="str">
        <f t="shared" si="0"/>
        <v>3,4</v>
      </c>
      <c r="F20" s="2" t="str">
        <f t="shared" si="1"/>
        <v>5,3</v>
      </c>
      <c r="L20" s="1">
        <v>3</v>
      </c>
      <c r="M20" s="4">
        <v>5</v>
      </c>
      <c r="N20" s="1">
        <v>4</v>
      </c>
      <c r="O20" s="4">
        <v>3</v>
      </c>
      <c r="P20" s="1"/>
      <c r="U20" s="2"/>
    </row>
    <row r="21" spans="1:21" x14ac:dyDescent="0.25">
      <c r="A21" t="s">
        <v>100</v>
      </c>
      <c r="B21">
        <v>19</v>
      </c>
      <c r="C21">
        <v>12</v>
      </c>
      <c r="D21" s="3">
        <f t="shared" si="2"/>
        <v>0.19860715922910904</v>
      </c>
      <c r="E21" s="2" t="str">
        <f t="shared" si="0"/>
        <v>3,4</v>
      </c>
      <c r="F21" s="2" t="str">
        <f t="shared" si="1"/>
        <v>10,1</v>
      </c>
      <c r="L21" s="1">
        <v>3</v>
      </c>
      <c r="M21" s="4">
        <v>10</v>
      </c>
      <c r="N21" s="1">
        <v>4</v>
      </c>
      <c r="O21" s="4">
        <v>1</v>
      </c>
      <c r="P21" s="1"/>
    </row>
    <row r="22" spans="1:21" x14ac:dyDescent="0.25">
      <c r="A22" t="s">
        <v>101</v>
      </c>
      <c r="B22">
        <v>20</v>
      </c>
      <c r="C22">
        <v>12</v>
      </c>
      <c r="D22" s="3">
        <f t="shared" si="2"/>
        <v>0.18867680126765357</v>
      </c>
      <c r="E22" s="2" t="str">
        <f t="shared" si="0"/>
        <v>1,2,3,4,5</v>
      </c>
      <c r="F22" s="2" t="str">
        <f t="shared" si="1"/>
        <v>3,4,10,5,4</v>
      </c>
      <c r="H22" s="1">
        <v>1</v>
      </c>
      <c r="I22" s="4">
        <v>3</v>
      </c>
      <c r="J22" s="1">
        <v>2</v>
      </c>
      <c r="K22" s="4">
        <v>4</v>
      </c>
      <c r="L22" s="1">
        <v>3</v>
      </c>
      <c r="M22" s="4">
        <v>10</v>
      </c>
      <c r="N22" s="1">
        <v>4</v>
      </c>
      <c r="O22" s="4">
        <v>5</v>
      </c>
      <c r="P22" s="1">
        <v>5</v>
      </c>
      <c r="Q22" s="4">
        <v>4</v>
      </c>
    </row>
    <row r="23" spans="1:21" x14ac:dyDescent="0.25">
      <c r="A23" t="s">
        <v>102</v>
      </c>
      <c r="B23">
        <v>21</v>
      </c>
      <c r="C23">
        <v>12</v>
      </c>
      <c r="D23" s="3">
        <f t="shared" si="2"/>
        <v>0.17924296120427088</v>
      </c>
      <c r="E23" s="2" t="str">
        <f t="shared" si="0"/>
        <v>3,4,5</v>
      </c>
      <c r="F23" s="2" t="str">
        <f t="shared" si="1"/>
        <v>10,5,5</v>
      </c>
      <c r="L23" s="1">
        <v>3</v>
      </c>
      <c r="M23" s="4">
        <v>10</v>
      </c>
      <c r="N23" s="1">
        <v>4</v>
      </c>
      <c r="O23" s="4">
        <v>5</v>
      </c>
      <c r="P23" s="1">
        <v>5</v>
      </c>
      <c r="Q23" s="4">
        <v>5</v>
      </c>
    </row>
    <row r="24" spans="1:21" x14ac:dyDescent="0.25">
      <c r="A24" t="s">
        <v>103</v>
      </c>
      <c r="B24">
        <v>22</v>
      </c>
      <c r="C24">
        <v>12</v>
      </c>
      <c r="D24" s="3">
        <f t="shared" si="2"/>
        <v>0.17028081314405732</v>
      </c>
      <c r="E24" s="2" t="str">
        <f t="shared" si="0"/>
        <v>3,4,5</v>
      </c>
      <c r="F24" s="2" t="str">
        <f t="shared" si="1"/>
        <v>10,5,5</v>
      </c>
      <c r="L24" s="1">
        <v>3</v>
      </c>
      <c r="M24" s="4">
        <v>10</v>
      </c>
      <c r="N24" s="1">
        <v>4</v>
      </c>
      <c r="O24" s="4">
        <v>5</v>
      </c>
      <c r="P24" s="1">
        <v>5</v>
      </c>
      <c r="Q24" s="4">
        <v>5</v>
      </c>
    </row>
    <row r="25" spans="1:21" x14ac:dyDescent="0.25">
      <c r="A25" t="s">
        <v>104</v>
      </c>
      <c r="B25">
        <v>23</v>
      </c>
      <c r="C25">
        <v>12</v>
      </c>
      <c r="D25" s="3">
        <f t="shared" si="2"/>
        <v>0.16176677248685445</v>
      </c>
      <c r="E25" s="2" t="str">
        <f t="shared" si="0"/>
        <v>3,4,5</v>
      </c>
      <c r="F25" s="2" t="str">
        <f t="shared" si="1"/>
        <v>10,5,5</v>
      </c>
      <c r="L25" s="1">
        <v>3</v>
      </c>
      <c r="M25" s="4">
        <v>10</v>
      </c>
      <c r="N25" s="1">
        <v>4</v>
      </c>
      <c r="O25" s="4">
        <v>5</v>
      </c>
      <c r="P25" s="1">
        <v>5</v>
      </c>
      <c r="Q25" s="4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Waves">
                <anchor moveWithCells="1" sizeWithCells="1">
                  <from>
                    <xdr:col>17</xdr:col>
                    <xdr:colOff>0</xdr:colOff>
                    <xdr:row>4</xdr:row>
                    <xdr:rowOff>47625</xdr:rowOff>
                  </from>
                  <to>
                    <xdr:col>18</xdr:col>
                    <xdr:colOff>419100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65E02-84CC-4BFD-9176-4A1A6CBB947A}">
  <sheetPr codeName="Sheet4"/>
  <dimension ref="A1:H8"/>
  <sheetViews>
    <sheetView workbookViewId="0">
      <selection activeCell="E8" sqref="E8"/>
    </sheetView>
  </sheetViews>
  <sheetFormatPr defaultRowHeight="15" x14ac:dyDescent="0.25"/>
  <cols>
    <col min="1" max="1" width="11.140625" customWidth="1"/>
    <col min="2" max="2" width="13.140625" customWidth="1"/>
    <col min="3" max="3" width="47" customWidth="1"/>
  </cols>
  <sheetData>
    <row r="1" spans="1:8" x14ac:dyDescent="0.25">
      <c r="A1" t="s">
        <v>1</v>
      </c>
      <c r="B1" t="s">
        <v>0</v>
      </c>
      <c r="C1" t="s">
        <v>78</v>
      </c>
    </row>
    <row r="2" spans="1:8" x14ac:dyDescent="0.25">
      <c r="A2">
        <v>1</v>
      </c>
      <c r="B2" t="s">
        <v>79</v>
      </c>
      <c r="C2" t="s">
        <v>84</v>
      </c>
    </row>
    <row r="3" spans="1:8" x14ac:dyDescent="0.25">
      <c r="A3">
        <v>2</v>
      </c>
      <c r="B3" t="s">
        <v>80</v>
      </c>
      <c r="C3" t="s">
        <v>89</v>
      </c>
      <c r="G3" s="1" t="s">
        <v>70</v>
      </c>
      <c r="H3" s="1" t="s">
        <v>183</v>
      </c>
    </row>
    <row r="4" spans="1:8" x14ac:dyDescent="0.25">
      <c r="A4">
        <v>3</v>
      </c>
      <c r="B4" t="s">
        <v>81</v>
      </c>
      <c r="C4" t="s">
        <v>85</v>
      </c>
    </row>
    <row r="5" spans="1:8" x14ac:dyDescent="0.25">
      <c r="A5">
        <v>4</v>
      </c>
      <c r="B5" t="s">
        <v>83</v>
      </c>
      <c r="C5" t="s">
        <v>86</v>
      </c>
    </row>
    <row r="6" spans="1:8" x14ac:dyDescent="0.25">
      <c r="A6">
        <v>5</v>
      </c>
      <c r="B6" t="s">
        <v>82</v>
      </c>
      <c r="C6" t="s">
        <v>87</v>
      </c>
    </row>
    <row r="7" spans="1:8" x14ac:dyDescent="0.25">
      <c r="A7">
        <v>6</v>
      </c>
      <c r="B7" t="s">
        <v>178</v>
      </c>
      <c r="C7" t="s">
        <v>179</v>
      </c>
    </row>
    <row r="8" spans="1:8" x14ac:dyDescent="0.25">
      <c r="A8">
        <v>7</v>
      </c>
      <c r="B8" t="s">
        <v>181</v>
      </c>
      <c r="C8" t="s">
        <v>182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Bullets">
                <anchor moveWithCells="1" sizeWithCells="1">
                  <from>
                    <xdr:col>6</xdr:col>
                    <xdr:colOff>0</xdr:colOff>
                    <xdr:row>3</xdr:row>
                    <xdr:rowOff>47625</xdr:rowOff>
                  </from>
                  <to>
                    <xdr:col>7</xdr:col>
                    <xdr:colOff>419100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916E3-7BF8-4C7F-B5A2-43AEF96E7CA3}">
  <sheetPr codeName="Sheet5"/>
  <dimension ref="A1:K14"/>
  <sheetViews>
    <sheetView workbookViewId="0">
      <selection activeCell="I19" sqref="I19"/>
    </sheetView>
  </sheetViews>
  <sheetFormatPr defaultRowHeight="15" x14ac:dyDescent="0.25"/>
  <cols>
    <col min="1" max="1" width="14.140625" customWidth="1"/>
    <col min="2" max="2" width="12.42578125" customWidth="1"/>
    <col min="3" max="3" width="51.28515625" customWidth="1"/>
    <col min="6" max="6" width="11.85546875" bestFit="1" customWidth="1"/>
  </cols>
  <sheetData>
    <row r="1" spans="1:11" x14ac:dyDescent="0.25">
      <c r="A1" t="s">
        <v>1</v>
      </c>
      <c r="B1" t="s">
        <v>108</v>
      </c>
      <c r="C1" t="s">
        <v>110</v>
      </c>
      <c r="D1" t="s">
        <v>111</v>
      </c>
      <c r="E1" t="s">
        <v>112</v>
      </c>
      <c r="F1" t="s">
        <v>113</v>
      </c>
    </row>
    <row r="2" spans="1:11" x14ac:dyDescent="0.25">
      <c r="A2" t="s">
        <v>115</v>
      </c>
      <c r="B2" t="s">
        <v>109</v>
      </c>
      <c r="C2" t="s">
        <v>138</v>
      </c>
      <c r="D2">
        <v>4</v>
      </c>
      <c r="E2">
        <v>36</v>
      </c>
      <c r="F2">
        <v>4</v>
      </c>
    </row>
    <row r="3" spans="1:11" x14ac:dyDescent="0.25">
      <c r="A3" t="s">
        <v>114</v>
      </c>
      <c r="B3" t="s">
        <v>109</v>
      </c>
      <c r="C3" t="s">
        <v>139</v>
      </c>
      <c r="D3">
        <v>3</v>
      </c>
      <c r="E3">
        <v>46</v>
      </c>
      <c r="F3">
        <v>4</v>
      </c>
    </row>
    <row r="4" spans="1:11" x14ac:dyDescent="0.25">
      <c r="A4" t="s">
        <v>117</v>
      </c>
      <c r="B4" t="s">
        <v>109</v>
      </c>
      <c r="C4" t="s">
        <v>116</v>
      </c>
      <c r="D4">
        <v>6</v>
      </c>
      <c r="E4">
        <v>50</v>
      </c>
      <c r="F4">
        <v>4</v>
      </c>
    </row>
    <row r="5" spans="1:11" x14ac:dyDescent="0.25">
      <c r="A5" t="s">
        <v>118</v>
      </c>
      <c r="B5" t="s">
        <v>109</v>
      </c>
      <c r="C5" t="s">
        <v>140</v>
      </c>
      <c r="D5">
        <v>2</v>
      </c>
      <c r="E5">
        <v>50</v>
      </c>
      <c r="F5">
        <v>4</v>
      </c>
      <c r="J5" s="1" t="s">
        <v>70</v>
      </c>
      <c r="K5" s="1" t="s">
        <v>137</v>
      </c>
    </row>
    <row r="6" spans="1:11" x14ac:dyDescent="0.25">
      <c r="A6" t="s">
        <v>119</v>
      </c>
      <c r="B6" t="s">
        <v>109</v>
      </c>
      <c r="C6" t="s">
        <v>120</v>
      </c>
      <c r="D6">
        <v>1</v>
      </c>
      <c r="E6">
        <v>6</v>
      </c>
      <c r="F6">
        <v>2</v>
      </c>
    </row>
    <row r="7" spans="1:11" x14ac:dyDescent="0.25">
      <c r="A7" t="s">
        <v>121</v>
      </c>
      <c r="B7" t="s">
        <v>109</v>
      </c>
      <c r="C7" t="s">
        <v>126</v>
      </c>
      <c r="D7">
        <v>1</v>
      </c>
      <c r="E7">
        <v>6</v>
      </c>
      <c r="F7">
        <v>2</v>
      </c>
    </row>
    <row r="8" spans="1:11" x14ac:dyDescent="0.25">
      <c r="A8" t="s">
        <v>122</v>
      </c>
      <c r="B8" t="s">
        <v>109</v>
      </c>
      <c r="C8" t="s">
        <v>127</v>
      </c>
      <c r="D8">
        <v>1</v>
      </c>
      <c r="E8">
        <v>8</v>
      </c>
      <c r="F8">
        <v>2</v>
      </c>
    </row>
    <row r="9" spans="1:11" x14ac:dyDescent="0.25">
      <c r="A9" t="s">
        <v>123</v>
      </c>
      <c r="B9" t="s">
        <v>109</v>
      </c>
      <c r="C9" t="s">
        <v>128</v>
      </c>
      <c r="D9">
        <v>1</v>
      </c>
      <c r="E9">
        <v>6</v>
      </c>
      <c r="F9">
        <v>2</v>
      </c>
    </row>
    <row r="10" spans="1:11" x14ac:dyDescent="0.25">
      <c r="A10" t="s">
        <v>124</v>
      </c>
      <c r="B10" t="s">
        <v>109</v>
      </c>
      <c r="C10" t="s">
        <v>129</v>
      </c>
      <c r="D10">
        <v>1</v>
      </c>
      <c r="E10">
        <v>10</v>
      </c>
      <c r="F10">
        <v>2</v>
      </c>
    </row>
    <row r="11" spans="1:11" x14ac:dyDescent="0.25">
      <c r="A11" t="s">
        <v>125</v>
      </c>
      <c r="B11" t="s">
        <v>109</v>
      </c>
      <c r="C11" t="s">
        <v>130</v>
      </c>
      <c r="D11">
        <v>1</v>
      </c>
      <c r="E11">
        <v>10</v>
      </c>
      <c r="F11">
        <v>2</v>
      </c>
    </row>
    <row r="12" spans="1:11" x14ac:dyDescent="0.25">
      <c r="A12" t="s">
        <v>131</v>
      </c>
      <c r="B12" t="s">
        <v>109</v>
      </c>
      <c r="C12" t="s">
        <v>134</v>
      </c>
      <c r="D12">
        <v>1</v>
      </c>
      <c r="E12">
        <v>9</v>
      </c>
      <c r="F12">
        <v>2</v>
      </c>
    </row>
    <row r="13" spans="1:11" x14ac:dyDescent="0.25">
      <c r="A13" t="s">
        <v>132</v>
      </c>
      <c r="B13" t="s">
        <v>109</v>
      </c>
      <c r="C13" t="s">
        <v>135</v>
      </c>
      <c r="D13">
        <v>1</v>
      </c>
      <c r="E13">
        <v>9</v>
      </c>
      <c r="F13">
        <v>2</v>
      </c>
    </row>
    <row r="14" spans="1:11" x14ac:dyDescent="0.25">
      <c r="A14" t="s">
        <v>133</v>
      </c>
      <c r="B14" t="s">
        <v>109</v>
      </c>
      <c r="C14" t="s">
        <v>136</v>
      </c>
      <c r="D14">
        <v>1</v>
      </c>
      <c r="E14">
        <v>9</v>
      </c>
      <c r="F14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xportAnimations">
                <anchor moveWithCells="1" sizeWithCells="1">
                  <from>
                    <xdr:col>9</xdr:col>
                    <xdr:colOff>0</xdr:colOff>
                    <xdr:row>5</xdr:row>
                    <xdr:rowOff>47625</xdr:rowOff>
                  </from>
                  <to>
                    <xdr:col>10</xdr:col>
                    <xdr:colOff>419100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towers</vt:lpstr>
      <vt:lpstr>mobs</vt:lpstr>
      <vt:lpstr>waves</vt:lpstr>
      <vt:lpstr>bullets</vt:lpstr>
      <vt:lpstr>animations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Remi Lanza</dc:creator>
  <cp:lastModifiedBy>Remi Lanza</cp:lastModifiedBy>
  <dcterms:created xsi:type="dcterms:W3CDTF">2019-04-21T21:08:54Z</dcterms:created>
  <dcterms:modified xsi:type="dcterms:W3CDTF">2020-05-19T07:14:02Z</dcterms:modified>
</cp:coreProperties>
</file>